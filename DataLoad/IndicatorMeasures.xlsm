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ssal01\Documents\GitHub\Strategic-Alignment\DataLoad\"/>
    </mc:Choice>
  </mc:AlternateContent>
  <bookViews>
    <workbookView xWindow="480" yWindow="45" windowWidth="18195" windowHeight="11820"/>
  </bookViews>
  <sheets>
    <sheet name="Sheet1" sheetId="1" r:id="rId1"/>
    <sheet name="Sheet2" sheetId="2" r:id="rId2"/>
    <sheet name="Sheet3" sheetId="3" r:id="rId3"/>
  </sheets>
  <functionGroups builtInGroupCount="18"/>
  <definedNames>
    <definedName name="_xlnm._FilterDatabase" localSheetId="0" hidden="1">Sheet1!$A$1:$F$740</definedName>
  </definedNames>
  <calcPr calcId="152511"/>
</workbook>
</file>

<file path=xl/calcChain.xml><?xml version="1.0" encoding="utf-8"?>
<calcChain xmlns="http://schemas.openxmlformats.org/spreadsheetml/2006/main">
  <c r="B519" i="1" l="1"/>
  <c r="B199" i="1"/>
  <c r="B518" i="1"/>
  <c r="B198" i="1"/>
  <c r="B517" i="1"/>
  <c r="B197" i="1"/>
  <c r="B516" i="1"/>
  <c r="B196" i="1"/>
  <c r="B515" i="1"/>
  <c r="B195" i="1"/>
  <c r="B514" i="1"/>
  <c r="B194" i="1"/>
  <c r="B513" i="1"/>
  <c r="B193" i="1"/>
  <c r="B512" i="1"/>
  <c r="B192" i="1"/>
  <c r="B511" i="1"/>
  <c r="B191" i="1"/>
  <c r="B510" i="1"/>
  <c r="B190" i="1"/>
  <c r="B509" i="1"/>
  <c r="B189" i="1"/>
  <c r="B508" i="1"/>
  <c r="B188" i="1"/>
  <c r="B725" i="1"/>
  <c r="B354" i="1"/>
  <c r="B346" i="1"/>
  <c r="B338" i="1"/>
  <c r="B330" i="1"/>
  <c r="B322" i="1"/>
  <c r="B314" i="1"/>
  <c r="B306" i="1"/>
  <c r="B1154" i="1"/>
  <c r="B1121" i="1"/>
  <c r="B1088" i="1"/>
  <c r="B1055" i="1"/>
  <c r="B1022" i="1"/>
  <c r="B989" i="1"/>
  <c r="B956" i="1"/>
  <c r="B923" i="1"/>
  <c r="B890" i="1"/>
  <c r="B857" i="1"/>
  <c r="B824" i="1"/>
  <c r="B791" i="1"/>
  <c r="B758" i="1"/>
  <c r="B717" i="1"/>
  <c r="B684" i="1"/>
  <c r="B651" i="1"/>
  <c r="B618" i="1"/>
  <c r="B585" i="1"/>
  <c r="B552" i="1"/>
  <c r="B420" i="1"/>
  <c r="B387" i="1"/>
  <c r="B298" i="1"/>
  <c r="B265" i="1"/>
  <c r="B232" i="1"/>
  <c r="B100" i="1"/>
  <c r="B67" i="1"/>
  <c r="B34" i="1"/>
  <c r="B1153" i="1"/>
  <c r="B1120" i="1"/>
  <c r="B1087" i="1"/>
  <c r="B1054" i="1"/>
  <c r="B1021" i="1"/>
  <c r="B988" i="1"/>
  <c r="B955" i="1"/>
  <c r="B922" i="1"/>
  <c r="B889" i="1"/>
  <c r="B856" i="1"/>
  <c r="B823" i="1"/>
  <c r="B790" i="1"/>
  <c r="B757" i="1"/>
  <c r="B716" i="1"/>
  <c r="B683" i="1"/>
  <c r="B650" i="1"/>
  <c r="B617" i="1"/>
  <c r="B584" i="1"/>
  <c r="B551" i="1"/>
  <c r="B419" i="1"/>
  <c r="B386" i="1"/>
  <c r="B297" i="1"/>
  <c r="B264" i="1"/>
  <c r="B231" i="1"/>
  <c r="B99" i="1"/>
  <c r="B66" i="1"/>
  <c r="B33" i="1"/>
  <c r="B1152" i="1"/>
  <c r="B1119" i="1"/>
  <c r="B1086" i="1"/>
  <c r="B1053" i="1"/>
  <c r="B1020" i="1"/>
  <c r="B987" i="1"/>
  <c r="B954" i="1"/>
  <c r="B921" i="1"/>
  <c r="B888" i="1"/>
  <c r="B855" i="1"/>
  <c r="B822" i="1"/>
  <c r="B789" i="1"/>
  <c r="B756" i="1"/>
  <c r="B715" i="1"/>
  <c r="B682" i="1"/>
  <c r="B649" i="1"/>
  <c r="B616" i="1"/>
  <c r="B583" i="1"/>
  <c r="B550" i="1"/>
  <c r="B418" i="1"/>
  <c r="B385" i="1"/>
  <c r="B296" i="1"/>
  <c r="B263" i="1"/>
  <c r="B230" i="1"/>
  <c r="B98" i="1"/>
  <c r="B65" i="1"/>
  <c r="B32" i="1"/>
  <c r="B1151" i="1"/>
  <c r="B1118" i="1"/>
  <c r="B1085" i="1"/>
  <c r="B1052" i="1"/>
  <c r="B1019" i="1"/>
  <c r="B986" i="1"/>
  <c r="B953" i="1"/>
  <c r="B920" i="1"/>
  <c r="B887" i="1"/>
  <c r="B854" i="1"/>
  <c r="B821" i="1"/>
  <c r="B788" i="1"/>
  <c r="B755" i="1"/>
  <c r="B714" i="1"/>
  <c r="B681" i="1"/>
  <c r="B648" i="1"/>
  <c r="B615" i="1"/>
  <c r="B582" i="1"/>
  <c r="B549" i="1"/>
  <c r="B417" i="1"/>
  <c r="B384" i="1"/>
  <c r="B295" i="1"/>
  <c r="B262" i="1"/>
  <c r="B229" i="1"/>
  <c r="B97" i="1"/>
  <c r="B64" i="1"/>
  <c r="B31" i="1"/>
  <c r="B1150" i="1" l="1"/>
  <c r="B1117" i="1"/>
  <c r="B1084" i="1"/>
  <c r="B1051" i="1"/>
  <c r="B1018" i="1"/>
  <c r="B985" i="1"/>
  <c r="B952" i="1"/>
  <c r="B919" i="1"/>
  <c r="B886" i="1"/>
  <c r="B853" i="1"/>
  <c r="B820" i="1"/>
  <c r="B787" i="1"/>
  <c r="B754" i="1"/>
  <c r="B713" i="1"/>
  <c r="B680" i="1"/>
  <c r="B647" i="1"/>
  <c r="B614" i="1"/>
  <c r="B581" i="1"/>
  <c r="B548" i="1"/>
  <c r="B416" i="1"/>
  <c r="B383" i="1"/>
  <c r="B294" i="1"/>
  <c r="B261" i="1"/>
  <c r="B228" i="1"/>
  <c r="B96" i="1"/>
  <c r="B63" i="1"/>
  <c r="B30" i="1"/>
  <c r="B507" i="1"/>
  <c r="B187" i="1"/>
  <c r="B506" i="1" l="1"/>
  <c r="B186" i="1"/>
  <c r="B505" i="1"/>
  <c r="B185" i="1"/>
  <c r="B990" i="1" l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E957" i="1" l="1"/>
  <c r="E355" i="1" s="1"/>
  <c r="E958" i="1"/>
  <c r="E356" i="1" s="1"/>
  <c r="E959" i="1"/>
  <c r="E357" i="1" s="1"/>
  <c r="E960" i="1"/>
  <c r="E358" i="1" s="1"/>
  <c r="E961" i="1"/>
  <c r="E359" i="1" s="1"/>
  <c r="E962" i="1"/>
  <c r="E360" i="1" s="1"/>
  <c r="E963" i="1"/>
  <c r="E361" i="1" s="1"/>
  <c r="E964" i="1"/>
  <c r="E362" i="1" s="1"/>
  <c r="E965" i="1"/>
  <c r="E363" i="1" s="1"/>
  <c r="E966" i="1"/>
  <c r="E364" i="1" s="1"/>
  <c r="E967" i="1"/>
  <c r="E365" i="1" s="1"/>
  <c r="E968" i="1"/>
  <c r="E366" i="1" s="1"/>
  <c r="E969" i="1"/>
  <c r="E367" i="1" s="1"/>
  <c r="E970" i="1"/>
  <c r="E368" i="1" s="1"/>
  <c r="E971" i="1"/>
  <c r="E369" i="1" s="1"/>
  <c r="E972" i="1"/>
  <c r="E370" i="1" s="1"/>
  <c r="E973" i="1"/>
  <c r="E371" i="1" s="1"/>
  <c r="E974" i="1"/>
  <c r="E372" i="1" s="1"/>
  <c r="E975" i="1"/>
  <c r="E373" i="1" s="1"/>
  <c r="E976" i="1"/>
  <c r="E374" i="1" s="1"/>
  <c r="E977" i="1"/>
  <c r="E375" i="1" s="1"/>
  <c r="E978" i="1"/>
  <c r="E376" i="1" s="1"/>
  <c r="E979" i="1"/>
  <c r="E377" i="1" s="1"/>
  <c r="E980" i="1"/>
  <c r="E378" i="1" s="1"/>
  <c r="E981" i="1"/>
  <c r="E379" i="1" s="1"/>
  <c r="E982" i="1"/>
  <c r="E380" i="1" s="1"/>
  <c r="E983" i="1"/>
  <c r="E381" i="1" s="1"/>
  <c r="E984" i="1"/>
  <c r="E382" i="1" s="1"/>
  <c r="B984" i="1"/>
  <c r="B983" i="1"/>
  <c r="B982" i="1"/>
  <c r="B981" i="1"/>
  <c r="B980" i="1"/>
  <c r="B979" i="1"/>
  <c r="B978" i="1"/>
  <c r="B977" i="1"/>
  <c r="B976" i="1"/>
  <c r="B975" i="1"/>
  <c r="B974" i="1"/>
  <c r="B973" i="1"/>
  <c r="B972" i="1"/>
  <c r="B971" i="1"/>
  <c r="B970" i="1"/>
  <c r="B969" i="1"/>
  <c r="B968" i="1"/>
  <c r="B967" i="1"/>
  <c r="B966" i="1"/>
  <c r="B965" i="1"/>
  <c r="B964" i="1"/>
  <c r="B963" i="1"/>
  <c r="B962" i="1"/>
  <c r="B961" i="1"/>
  <c r="B960" i="1"/>
  <c r="B959" i="1"/>
  <c r="B958" i="1"/>
  <c r="B957" i="1"/>
  <c r="B838" i="1" l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786" i="1"/>
  <c r="B785" i="1"/>
  <c r="B784" i="1"/>
  <c r="B783" i="1"/>
  <c r="B782" i="1"/>
  <c r="B781" i="1"/>
  <c r="B780" i="1"/>
  <c r="B779" i="1"/>
  <c r="B778" i="1"/>
  <c r="B777" i="1"/>
  <c r="B776" i="1"/>
  <c r="B775" i="1"/>
  <c r="B774" i="1"/>
  <c r="B773" i="1"/>
  <c r="B772" i="1"/>
  <c r="B771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724" i="1" l="1"/>
  <c r="B353" i="1"/>
  <c r="B345" i="1"/>
  <c r="B337" i="1"/>
  <c r="B329" i="1"/>
  <c r="B321" i="1"/>
  <c r="B313" i="1"/>
  <c r="B305" i="1"/>
  <c r="B504" i="1"/>
  <c r="B184" i="1"/>
  <c r="B503" i="1"/>
  <c r="B183" i="1"/>
  <c r="B502" i="1"/>
  <c r="B182" i="1"/>
  <c r="B501" i="1"/>
  <c r="B181" i="1"/>
  <c r="B500" i="1"/>
  <c r="B180" i="1"/>
  <c r="B499" i="1"/>
  <c r="B179" i="1"/>
  <c r="B498" i="1"/>
  <c r="B178" i="1"/>
  <c r="B497" i="1"/>
  <c r="B177" i="1"/>
  <c r="B496" i="1"/>
  <c r="B176" i="1"/>
  <c r="B495" i="1"/>
  <c r="B175" i="1"/>
  <c r="B494" i="1"/>
  <c r="B174" i="1"/>
  <c r="B493" i="1"/>
  <c r="B173" i="1"/>
  <c r="B492" i="1"/>
  <c r="B172" i="1"/>
  <c r="B491" i="1"/>
  <c r="B171" i="1"/>
  <c r="B723" i="1"/>
  <c r="B352" i="1"/>
  <c r="B344" i="1"/>
  <c r="B336" i="1"/>
  <c r="B328" i="1"/>
  <c r="B320" i="1"/>
  <c r="B312" i="1"/>
  <c r="B304" i="1"/>
  <c r="B490" i="1"/>
  <c r="B170" i="1"/>
  <c r="B753" i="1" l="1"/>
  <c r="B712" i="1"/>
  <c r="B679" i="1"/>
  <c r="B646" i="1"/>
  <c r="B613" i="1"/>
  <c r="B580" i="1"/>
  <c r="B547" i="1"/>
  <c r="B415" i="1"/>
  <c r="B382" i="1"/>
  <c r="B293" i="1"/>
  <c r="B260" i="1"/>
  <c r="B227" i="1"/>
  <c r="B95" i="1"/>
  <c r="B62" i="1"/>
  <c r="B29" i="1"/>
  <c r="B752" i="1"/>
  <c r="B711" i="1"/>
  <c r="B678" i="1"/>
  <c r="B645" i="1"/>
  <c r="B612" i="1"/>
  <c r="B579" i="1"/>
  <c r="B546" i="1"/>
  <c r="B414" i="1"/>
  <c r="B381" i="1"/>
  <c r="B292" i="1"/>
  <c r="B259" i="1"/>
  <c r="B226" i="1"/>
  <c r="B94" i="1"/>
  <c r="B61" i="1"/>
  <c r="B28" i="1"/>
  <c r="B751" i="1"/>
  <c r="B710" i="1"/>
  <c r="B677" i="1"/>
  <c r="B644" i="1"/>
  <c r="B611" i="1"/>
  <c r="B578" i="1"/>
  <c r="B545" i="1"/>
  <c r="B413" i="1"/>
  <c r="B380" i="1"/>
  <c r="B291" i="1"/>
  <c r="B258" i="1"/>
  <c r="B225" i="1"/>
  <c r="B93" i="1"/>
  <c r="B60" i="1"/>
  <c r="B27" i="1"/>
  <c r="B750" i="1"/>
  <c r="B709" i="1"/>
  <c r="B643" i="1"/>
  <c r="B610" i="1"/>
  <c r="B577" i="1"/>
  <c r="B544" i="1"/>
  <c r="B379" i="1"/>
  <c r="B290" i="1"/>
  <c r="B257" i="1"/>
  <c r="B92" i="1"/>
  <c r="B59" i="1"/>
  <c r="B26" i="1"/>
  <c r="B676" i="1"/>
  <c r="B412" i="1"/>
  <c r="B224" i="1"/>
  <c r="B749" i="1"/>
  <c r="B708" i="1"/>
  <c r="B675" i="1"/>
  <c r="B642" i="1"/>
  <c r="B609" i="1"/>
  <c r="B576" i="1"/>
  <c r="B543" i="1"/>
  <c r="B411" i="1"/>
  <c r="B378" i="1"/>
  <c r="B289" i="1"/>
  <c r="B256" i="1"/>
  <c r="B223" i="1"/>
  <c r="B91" i="1"/>
  <c r="B58" i="1"/>
  <c r="B25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99" i="1"/>
  <c r="B300" i="1"/>
  <c r="B301" i="1"/>
  <c r="B302" i="1"/>
  <c r="B303" i="1"/>
  <c r="B307" i="1"/>
  <c r="B308" i="1"/>
  <c r="B309" i="1"/>
  <c r="B310" i="1"/>
  <c r="B311" i="1"/>
  <c r="B315" i="1"/>
  <c r="B316" i="1"/>
  <c r="B317" i="1"/>
  <c r="B318" i="1"/>
  <c r="B319" i="1"/>
  <c r="B323" i="1"/>
  <c r="B324" i="1"/>
  <c r="B325" i="1"/>
  <c r="B326" i="1"/>
  <c r="B327" i="1"/>
  <c r="B331" i="1"/>
  <c r="B332" i="1"/>
  <c r="B333" i="1"/>
  <c r="B334" i="1"/>
  <c r="B335" i="1"/>
  <c r="B339" i="1"/>
  <c r="B340" i="1"/>
  <c r="B341" i="1"/>
  <c r="B342" i="1"/>
  <c r="B343" i="1"/>
  <c r="B347" i="1"/>
  <c r="B348" i="1"/>
  <c r="B349" i="1"/>
  <c r="B350" i="1"/>
  <c r="B351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18" i="1"/>
  <c r="B719" i="1"/>
  <c r="B720" i="1"/>
  <c r="B721" i="1"/>
  <c r="B722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2" i="1"/>
</calcChain>
</file>

<file path=xl/sharedStrings.xml><?xml version="1.0" encoding="utf-8"?>
<sst xmlns="http://schemas.openxmlformats.org/spreadsheetml/2006/main" count="4553" uniqueCount="659">
  <si>
    <t>KPI</t>
  </si>
  <si>
    <t>KPI00003</t>
  </si>
  <si>
    <t>2010-12-31T00:00:00</t>
  </si>
  <si>
    <t>2011-12-31T00:00:00</t>
  </si>
  <si>
    <t>KM000001</t>
  </si>
  <si>
    <t>KM000002</t>
  </si>
  <si>
    <t>KM000003</t>
  </si>
  <si>
    <t>KM000004</t>
  </si>
  <si>
    <t>KM000005</t>
  </si>
  <si>
    <t>KM000006</t>
  </si>
  <si>
    <t>KM000007</t>
  </si>
  <si>
    <t>2010-Q4</t>
  </si>
  <si>
    <t>2011-Q1</t>
  </si>
  <si>
    <t>2011-Q2</t>
  </si>
  <si>
    <t>2011-Q3</t>
  </si>
  <si>
    <t>2011-Q4</t>
  </si>
  <si>
    <t>2011-03-31T00:00:00</t>
  </si>
  <si>
    <t>2011-09-30T00:00:00</t>
  </si>
  <si>
    <t>2011-06-30T00:00:00</t>
  </si>
  <si>
    <t>2010-Q1</t>
  </si>
  <si>
    <t>2010-Q2</t>
  </si>
  <si>
    <t>2010-Q3</t>
  </si>
  <si>
    <t>2010-09-30T00:00:00</t>
  </si>
  <si>
    <t>2010-06-30T00:00:00</t>
  </si>
  <si>
    <t>2010-03-31T00:00:00</t>
  </si>
  <si>
    <t>KM000008</t>
  </si>
  <si>
    <t>Measure Code</t>
  </si>
  <si>
    <t>Measure Name</t>
  </si>
  <si>
    <t>Measure Date</t>
  </si>
  <si>
    <t>Measure Value</t>
  </si>
  <si>
    <t>KPI00006</t>
  </si>
  <si>
    <t>KPI00007</t>
  </si>
  <si>
    <t>KPI00004</t>
  </si>
  <si>
    <t>KPI00001</t>
  </si>
  <si>
    <t>KPI00002</t>
  </si>
  <si>
    <t>KPI00005</t>
  </si>
  <si>
    <t>KM000009</t>
  </si>
  <si>
    <t>KM000010</t>
  </si>
  <si>
    <t>KM000011</t>
  </si>
  <si>
    <t>KM000012</t>
  </si>
  <si>
    <t>2009-Q4</t>
  </si>
  <si>
    <t>2009-Q1</t>
  </si>
  <si>
    <t>2009-Q2</t>
  </si>
  <si>
    <t>2009-Q3</t>
  </si>
  <si>
    <t>2009-03-31T00:00:00</t>
  </si>
  <si>
    <t>2009-06-30T00:00:00</t>
  </si>
  <si>
    <t>2009-09-30T00:00:00</t>
  </si>
  <si>
    <t>2009-12-31T00:00:00</t>
  </si>
  <si>
    <t>Customer Satisfaction</t>
  </si>
  <si>
    <t>KM000013</t>
  </si>
  <si>
    <t>KM000014</t>
  </si>
  <si>
    <t>KM000015</t>
  </si>
  <si>
    <t>KM000016</t>
  </si>
  <si>
    <t>KM000017</t>
  </si>
  <si>
    <t>KM000018</t>
  </si>
  <si>
    <t>KM000019</t>
  </si>
  <si>
    <t>KM000020</t>
  </si>
  <si>
    <t>2009-Jan</t>
  </si>
  <si>
    <t>2009-Mar</t>
  </si>
  <si>
    <t>2009-Feb</t>
  </si>
  <si>
    <t>2009-Apr</t>
  </si>
  <si>
    <t>2009-May</t>
  </si>
  <si>
    <t>2009-Jun</t>
  </si>
  <si>
    <t>2009-Jul</t>
  </si>
  <si>
    <t>2009-Ago</t>
  </si>
  <si>
    <t>2009-Sep</t>
  </si>
  <si>
    <t>2009-Oct</t>
  </si>
  <si>
    <t>2009-Nov</t>
  </si>
  <si>
    <t>2009-Dec</t>
  </si>
  <si>
    <t>2009-01-31T00:00:00</t>
  </si>
  <si>
    <t>2009-05-31T00:00:00</t>
  </si>
  <si>
    <t>2009-07-31T00:00:00</t>
  </si>
  <si>
    <t>2009-08-31T00:00:00</t>
  </si>
  <si>
    <t>2009-10-31T00:00:00</t>
  </si>
  <si>
    <t>2009-11-30T00:00:00</t>
  </si>
  <si>
    <t>2009-04-30T00:00:00</t>
  </si>
  <si>
    <t>2009-02-28T00:00:00</t>
  </si>
  <si>
    <t>2010-Jan</t>
  </si>
  <si>
    <t>2010-01-31T00:00:00</t>
  </si>
  <si>
    <t>2010-Feb</t>
  </si>
  <si>
    <t>2010-02-28T00:00:00</t>
  </si>
  <si>
    <t>2010-Mar</t>
  </si>
  <si>
    <t>2010-Apr</t>
  </si>
  <si>
    <t>2010-04-30T00:00:00</t>
  </si>
  <si>
    <t>2010-May</t>
  </si>
  <si>
    <t>2010-05-31T00:00:00</t>
  </si>
  <si>
    <t>2010-Jun</t>
  </si>
  <si>
    <t>2010-Jul</t>
  </si>
  <si>
    <t>2010-07-31T00:00:00</t>
  </si>
  <si>
    <t>2010-Ago</t>
  </si>
  <si>
    <t>2010-08-31T00:00:00</t>
  </si>
  <si>
    <t>2010-Sep</t>
  </si>
  <si>
    <t>2010-Oct</t>
  </si>
  <si>
    <t>2010-10-31T00:00:00</t>
  </si>
  <si>
    <t>2010-Nov</t>
  </si>
  <si>
    <t>2010-11-30T00:00:00</t>
  </si>
  <si>
    <t>2010-Dec</t>
  </si>
  <si>
    <t>2011-Jan</t>
  </si>
  <si>
    <t>2011-01-31T00:00:00</t>
  </si>
  <si>
    <t>2011-Feb</t>
  </si>
  <si>
    <t>2011-02-28T00:00:00</t>
  </si>
  <si>
    <t>2011-Mar</t>
  </si>
  <si>
    <t>2011-Apr</t>
  </si>
  <si>
    <t>2011-04-30T00:00:00</t>
  </si>
  <si>
    <t>2011-May</t>
  </si>
  <si>
    <t>2011-05-31T00:00:00</t>
  </si>
  <si>
    <t>2011-Jun</t>
  </si>
  <si>
    <t>2011-Jul</t>
  </si>
  <si>
    <t>2011-07-31T00:00:00</t>
  </si>
  <si>
    <t>2011-Ago</t>
  </si>
  <si>
    <t>2011-08-31T00:00:00</t>
  </si>
  <si>
    <t>2011-Sep</t>
  </si>
  <si>
    <t>2011-Oct</t>
  </si>
  <si>
    <t>2011-10-31T00:00:00</t>
  </si>
  <si>
    <t>2011-Nov</t>
  </si>
  <si>
    <t>2011-11-30T00:00:00</t>
  </si>
  <si>
    <t>2011-Dec</t>
  </si>
  <si>
    <t>KM000021</t>
  </si>
  <si>
    <t>KM000022</t>
  </si>
  <si>
    <t>KM000023</t>
  </si>
  <si>
    <t>KM000024</t>
  </si>
  <si>
    <t>KM000025</t>
  </si>
  <si>
    <t>KM000026</t>
  </si>
  <si>
    <t>KM000027</t>
  </si>
  <si>
    <t>KM000028</t>
  </si>
  <si>
    <t>KM000029</t>
  </si>
  <si>
    <t>KM000030</t>
  </si>
  <si>
    <t>KM000031</t>
  </si>
  <si>
    <t>KM000032</t>
  </si>
  <si>
    <t>KM000033</t>
  </si>
  <si>
    <t>KM000034</t>
  </si>
  <si>
    <t>KM000035</t>
  </si>
  <si>
    <t>KM000036</t>
  </si>
  <si>
    <t>KM000037</t>
  </si>
  <si>
    <t>KM000038</t>
  </si>
  <si>
    <t>KM000039</t>
  </si>
  <si>
    <t>KM000040</t>
  </si>
  <si>
    <t>KM000041</t>
  </si>
  <si>
    <t>KM000042</t>
  </si>
  <si>
    <t>KM000043</t>
  </si>
  <si>
    <t>KM000044</t>
  </si>
  <si>
    <t>KM000045</t>
  </si>
  <si>
    <t>KM000046</t>
  </si>
  <si>
    <t>KM000047</t>
  </si>
  <si>
    <t>KM000048</t>
  </si>
  <si>
    <t>Education years</t>
  </si>
  <si>
    <t>KM000049</t>
  </si>
  <si>
    <t>KM000050</t>
  </si>
  <si>
    <t>KM000051</t>
  </si>
  <si>
    <t>KM000052</t>
  </si>
  <si>
    <t>KM000053</t>
  </si>
  <si>
    <t>KM000054</t>
  </si>
  <si>
    <t>KM000055</t>
  </si>
  <si>
    <t>KM000056</t>
  </si>
  <si>
    <t>Products</t>
  </si>
  <si>
    <t>Order Processing</t>
  </si>
  <si>
    <t>KM000057</t>
  </si>
  <si>
    <t>KM000058</t>
  </si>
  <si>
    <t>KM000059</t>
  </si>
  <si>
    <t>KM000060</t>
  </si>
  <si>
    <t>KM000061</t>
  </si>
  <si>
    <t>KM000062</t>
  </si>
  <si>
    <t>KM000063</t>
  </si>
  <si>
    <t>KM000064</t>
  </si>
  <si>
    <t>KM000065</t>
  </si>
  <si>
    <t>KM000066</t>
  </si>
  <si>
    <t>Sales Cycle</t>
  </si>
  <si>
    <t>KM000067</t>
  </si>
  <si>
    <t>KM000068</t>
  </si>
  <si>
    <t>KM000069</t>
  </si>
  <si>
    <t>KM000070</t>
  </si>
  <si>
    <t>KM000071</t>
  </si>
  <si>
    <t>KM000072</t>
  </si>
  <si>
    <t>KM000073</t>
  </si>
  <si>
    <t>KM000074</t>
  </si>
  <si>
    <t>KM000075</t>
  </si>
  <si>
    <t>KM000076</t>
  </si>
  <si>
    <t>KM000077</t>
  </si>
  <si>
    <t>KM000078</t>
  </si>
  <si>
    <t>KM000079</t>
  </si>
  <si>
    <t>KM000080</t>
  </si>
  <si>
    <t>KM000081</t>
  </si>
  <si>
    <t>Margin</t>
  </si>
  <si>
    <t>Market share</t>
  </si>
  <si>
    <t>Return Index</t>
  </si>
  <si>
    <t>Revenue Existing</t>
  </si>
  <si>
    <t>Revenue New</t>
  </si>
  <si>
    <t>Efficiency Ratio</t>
  </si>
  <si>
    <t>KPI00008</t>
  </si>
  <si>
    <t>Brand Value</t>
  </si>
  <si>
    <t>KPI00009</t>
  </si>
  <si>
    <t>KPI00010</t>
  </si>
  <si>
    <t>Automation</t>
  </si>
  <si>
    <t>KPI00011</t>
  </si>
  <si>
    <t>Process Length</t>
  </si>
  <si>
    <t>KPI00012</t>
  </si>
  <si>
    <t>Depts ISO 9002</t>
  </si>
  <si>
    <t>KPI00013</t>
  </si>
  <si>
    <t>Employee Satisfaction</t>
  </si>
  <si>
    <t>KPI00014</t>
  </si>
  <si>
    <t>KPI00015</t>
  </si>
  <si>
    <t>Training</t>
  </si>
  <si>
    <t>KPI00016</t>
  </si>
  <si>
    <t>Xsact New Sales Channels</t>
  </si>
  <si>
    <t>KPI00017</t>
  </si>
  <si>
    <t>On Time Delivery</t>
  </si>
  <si>
    <t>KPI00018</t>
  </si>
  <si>
    <t>KPI00019</t>
  </si>
  <si>
    <t>KPI00020</t>
  </si>
  <si>
    <t>IT Budg Variation</t>
  </si>
  <si>
    <t>KPI00021</t>
  </si>
  <si>
    <t>ITO Budg</t>
  </si>
  <si>
    <t>KPI00022</t>
  </si>
  <si>
    <t>IT Cust Sat</t>
  </si>
  <si>
    <t>KPI00023</t>
  </si>
  <si>
    <t>Emergency</t>
  </si>
  <si>
    <t>KPI00024</t>
  </si>
  <si>
    <t>Sign off</t>
  </si>
  <si>
    <t>KPI00025</t>
  </si>
  <si>
    <t>IT Employee Training</t>
  </si>
  <si>
    <t>KM000082</t>
  </si>
  <si>
    <t>KM000083</t>
  </si>
  <si>
    <t>KM000084</t>
  </si>
  <si>
    <t>KM000085</t>
  </si>
  <si>
    <t>KM000086</t>
  </si>
  <si>
    <t>KM000087</t>
  </si>
  <si>
    <t>KM000088</t>
  </si>
  <si>
    <t>KM000089</t>
  </si>
  <si>
    <t>KM000090</t>
  </si>
  <si>
    <t>KM000091</t>
  </si>
  <si>
    <t>KM000092</t>
  </si>
  <si>
    <t>KM000093</t>
  </si>
  <si>
    <t>KM000094</t>
  </si>
  <si>
    <t>KM000095</t>
  </si>
  <si>
    <t>KM000096</t>
  </si>
  <si>
    <t>KM000097</t>
  </si>
  <si>
    <t>KM000098</t>
  </si>
  <si>
    <t>KM000099</t>
  </si>
  <si>
    <t>KM000100</t>
  </si>
  <si>
    <t>KM000101</t>
  </si>
  <si>
    <t>KM000102</t>
  </si>
  <si>
    <t>KM000103</t>
  </si>
  <si>
    <t>KM000104</t>
  </si>
  <si>
    <t>KM000105</t>
  </si>
  <si>
    <t>KM000106</t>
  </si>
  <si>
    <t>KM000107</t>
  </si>
  <si>
    <t>KM000108</t>
  </si>
  <si>
    <t>KM000109</t>
  </si>
  <si>
    <t>KM000110</t>
  </si>
  <si>
    <t>KM000111</t>
  </si>
  <si>
    <t>KM000112</t>
  </si>
  <si>
    <t>KM000113</t>
  </si>
  <si>
    <t>KM000114</t>
  </si>
  <si>
    <t>KM000115</t>
  </si>
  <si>
    <t>KM000116</t>
  </si>
  <si>
    <t>KM000117</t>
  </si>
  <si>
    <t>KM000118</t>
  </si>
  <si>
    <t>KM000119</t>
  </si>
  <si>
    <t>KM000120</t>
  </si>
  <si>
    <t>KM000121</t>
  </si>
  <si>
    <t>KM000122</t>
  </si>
  <si>
    <t>KM000123</t>
  </si>
  <si>
    <t>KM000124</t>
  </si>
  <si>
    <t>KM000125</t>
  </si>
  <si>
    <t>KM000126</t>
  </si>
  <si>
    <t>KM000127</t>
  </si>
  <si>
    <t>KM000128</t>
  </si>
  <si>
    <t>KM000129</t>
  </si>
  <si>
    <t>KM000130</t>
  </si>
  <si>
    <t>KM000131</t>
  </si>
  <si>
    <t>KM000132</t>
  </si>
  <si>
    <t>KM000133</t>
  </si>
  <si>
    <t>KM000134</t>
  </si>
  <si>
    <t>KM000135</t>
  </si>
  <si>
    <t>KM000136</t>
  </si>
  <si>
    <t>KM000137</t>
  </si>
  <si>
    <t>KM000138</t>
  </si>
  <si>
    <t>KM000139</t>
  </si>
  <si>
    <t>KM000140</t>
  </si>
  <si>
    <t>KM000141</t>
  </si>
  <si>
    <t>KM000142</t>
  </si>
  <si>
    <t>KM000143</t>
  </si>
  <si>
    <t>KM000144</t>
  </si>
  <si>
    <t>KM000145</t>
  </si>
  <si>
    <t>KM000146</t>
  </si>
  <si>
    <t>KM000147</t>
  </si>
  <si>
    <t>KM000148</t>
  </si>
  <si>
    <t>KM000149</t>
  </si>
  <si>
    <t>KM000150</t>
  </si>
  <si>
    <t>KM000151</t>
  </si>
  <si>
    <t>KM000152</t>
  </si>
  <si>
    <t>KM000153</t>
  </si>
  <si>
    <t>KM000154</t>
  </si>
  <si>
    <t>KM000155</t>
  </si>
  <si>
    <t>KM000156</t>
  </si>
  <si>
    <t>KM000157</t>
  </si>
  <si>
    <t>KM000158</t>
  </si>
  <si>
    <t>KM000159</t>
  </si>
  <si>
    <t>KM000160</t>
  </si>
  <si>
    <t>KM000161</t>
  </si>
  <si>
    <t>KM000162</t>
  </si>
  <si>
    <t>KM000163</t>
  </si>
  <si>
    <t>KM000164</t>
  </si>
  <si>
    <t>KM000165</t>
  </si>
  <si>
    <t>KM000166</t>
  </si>
  <si>
    <t>KM000167</t>
  </si>
  <si>
    <t>KM000168</t>
  </si>
  <si>
    <t>KM000169</t>
  </si>
  <si>
    <t>KM000170</t>
  </si>
  <si>
    <t>KM000171</t>
  </si>
  <si>
    <t>KM000172</t>
  </si>
  <si>
    <t>KM000173</t>
  </si>
  <si>
    <t>KM000174</t>
  </si>
  <si>
    <t>KM000175</t>
  </si>
  <si>
    <t>KM000176</t>
  </si>
  <si>
    <t>KM000177</t>
  </si>
  <si>
    <t>KM000178</t>
  </si>
  <si>
    <t>KM000179</t>
  </si>
  <si>
    <t>KM000180</t>
  </si>
  <si>
    <t>KM000181</t>
  </si>
  <si>
    <t>KM000182</t>
  </si>
  <si>
    <t>KM000183</t>
  </si>
  <si>
    <t>KM000184</t>
  </si>
  <si>
    <t>KM000185</t>
  </si>
  <si>
    <t>KM000186</t>
  </si>
  <si>
    <t>KM000187</t>
  </si>
  <si>
    <t>KM000188</t>
  </si>
  <si>
    <t>KM000189</t>
  </si>
  <si>
    <t>KM000190</t>
  </si>
  <si>
    <t>KM000191</t>
  </si>
  <si>
    <t>KM000192</t>
  </si>
  <si>
    <t>KM000193</t>
  </si>
  <si>
    <t>KM000194</t>
  </si>
  <si>
    <t>KM000195</t>
  </si>
  <si>
    <t>KM000196</t>
  </si>
  <si>
    <t>KM000197</t>
  </si>
  <si>
    <t>KM000198</t>
  </si>
  <si>
    <t>KM000199</t>
  </si>
  <si>
    <t>KM000200</t>
  </si>
  <si>
    <t>KM000201</t>
  </si>
  <si>
    <t>KM000202</t>
  </si>
  <si>
    <t>KM000203</t>
  </si>
  <si>
    <t>KM000204</t>
  </si>
  <si>
    <t>KM000205</t>
  </si>
  <si>
    <t>KM000206</t>
  </si>
  <si>
    <t>KM000207</t>
  </si>
  <si>
    <t>KM000208</t>
  </si>
  <si>
    <t>KM000209</t>
  </si>
  <si>
    <t>KM000210</t>
  </si>
  <si>
    <t>KM000211</t>
  </si>
  <si>
    <t>KM000212</t>
  </si>
  <si>
    <t>KM000213</t>
  </si>
  <si>
    <t>KM000214</t>
  </si>
  <si>
    <t>KM000215</t>
  </si>
  <si>
    <t>KM000216</t>
  </si>
  <si>
    <t>KM000217</t>
  </si>
  <si>
    <t>KM000218</t>
  </si>
  <si>
    <t>KM000219</t>
  </si>
  <si>
    <t>KM000220</t>
  </si>
  <si>
    <t>KM000221</t>
  </si>
  <si>
    <t>KM000222</t>
  </si>
  <si>
    <t>KM000223</t>
  </si>
  <si>
    <t>KM000224</t>
  </si>
  <si>
    <t>KM000225</t>
  </si>
  <si>
    <t>KM000226</t>
  </si>
  <si>
    <t>KM000227</t>
  </si>
  <si>
    <t>KM000228</t>
  </si>
  <si>
    <t>KM000229</t>
  </si>
  <si>
    <t>KM000230</t>
  </si>
  <si>
    <t>KM000231</t>
  </si>
  <si>
    <t>KM000232</t>
  </si>
  <si>
    <t>KM000233</t>
  </si>
  <si>
    <t>KM000234</t>
  </si>
  <si>
    <t>KM000235</t>
  </si>
  <si>
    <t>KM000236</t>
  </si>
  <si>
    <t>KM000237</t>
  </si>
  <si>
    <t>KM000238</t>
  </si>
  <si>
    <t>KM000239</t>
  </si>
  <si>
    <t>KM000240</t>
  </si>
  <si>
    <t>KM000241</t>
  </si>
  <si>
    <t>KM000242</t>
  </si>
  <si>
    <t>KM000243</t>
  </si>
  <si>
    <t>KM000244</t>
  </si>
  <si>
    <t>KM000245</t>
  </si>
  <si>
    <t>KM000246</t>
  </si>
  <si>
    <t>KM000247</t>
  </si>
  <si>
    <t>KM000248</t>
  </si>
  <si>
    <t>KM000249</t>
  </si>
  <si>
    <t>KM000250</t>
  </si>
  <si>
    <t>KM000251</t>
  </si>
  <si>
    <t>KM000252</t>
  </si>
  <si>
    <t>KM000253</t>
  </si>
  <si>
    <t>KM000254</t>
  </si>
  <si>
    <t>KM000255</t>
  </si>
  <si>
    <t>KM000256</t>
  </si>
  <si>
    <t>KM000257</t>
  </si>
  <si>
    <t>KM000258</t>
  </si>
  <si>
    <t>KM000259</t>
  </si>
  <si>
    <t>KM000260</t>
  </si>
  <si>
    <t>KM000261</t>
  </si>
  <si>
    <t>KM000262</t>
  </si>
  <si>
    <t>KM000263</t>
  </si>
  <si>
    <t>KM000264</t>
  </si>
  <si>
    <t>KM000265</t>
  </si>
  <si>
    <t>KM000266</t>
  </si>
  <si>
    <t>KM000267</t>
  </si>
  <si>
    <t>KM000268</t>
  </si>
  <si>
    <t>KM000269</t>
  </si>
  <si>
    <t>KM000270</t>
  </si>
  <si>
    <t>KM000271</t>
  </si>
  <si>
    <t>KM000272</t>
  </si>
  <si>
    <t>KM000273</t>
  </si>
  <si>
    <t>KM000274</t>
  </si>
  <si>
    <t>KM000275</t>
  </si>
  <si>
    <t>KM000276</t>
  </si>
  <si>
    <t>2012-03-31T00:00:00</t>
  </si>
  <si>
    <t>2012-06-30T00:00:00</t>
  </si>
  <si>
    <t>2012-09-30T00:00:00</t>
  </si>
  <si>
    <t>2012-Q1</t>
  </si>
  <si>
    <t>2012-Q2</t>
  </si>
  <si>
    <t>2012-Q3</t>
  </si>
  <si>
    <t>2012-01-31T00:00:00</t>
  </si>
  <si>
    <t>2012-02-28T00:00:00</t>
  </si>
  <si>
    <t>2012-04-30T00:00:00</t>
  </si>
  <si>
    <t>2012-05-31T00:00:00</t>
  </si>
  <si>
    <t>2012-07-31T00:00:00</t>
  </si>
  <si>
    <t>2012-08-31T00:00:00</t>
  </si>
  <si>
    <t>2014-09-30T00:00:00</t>
  </si>
  <si>
    <t>2014-01-31T00:00:00</t>
  </si>
  <si>
    <t>2014-02-28T00:00:00</t>
  </si>
  <si>
    <t>2014-03-31T00:00:00</t>
  </si>
  <si>
    <t>2014-04-30T00:00:00</t>
  </si>
  <si>
    <t>2014-05-31T00:00:00</t>
  </si>
  <si>
    <t>2014-06-30T00:00:00</t>
  </si>
  <si>
    <t>2014-07-31T00:00:00</t>
  </si>
  <si>
    <t>2014-08-31T00:00:00</t>
  </si>
  <si>
    <t>2013-12-31T00:00:00</t>
  </si>
  <si>
    <t>2013-01-31T00:00:00</t>
  </si>
  <si>
    <t>2013-02-28T00:00:00</t>
  </si>
  <si>
    <t>2013-03-31T00:00:00</t>
  </si>
  <si>
    <t>2013-04-30T00:00:00</t>
  </si>
  <si>
    <t>2013-05-31T00:00:00</t>
  </si>
  <si>
    <t>2013-06-30T00:00:00</t>
  </si>
  <si>
    <t>2013-07-31T00:00:00</t>
  </si>
  <si>
    <t>2013-08-31T00:00:00</t>
  </si>
  <si>
    <t>2013-09-30T00:00:00</t>
  </si>
  <si>
    <t>2013-10-31T00:00:00</t>
  </si>
  <si>
    <t>2013-11-30T00:00:00</t>
  </si>
  <si>
    <t>2012-10-31T00:00:00</t>
  </si>
  <si>
    <t>2012-11-30T00:00:00</t>
  </si>
  <si>
    <t>2012-12-31T00:00:00</t>
  </si>
  <si>
    <t>2012-Q4</t>
  </si>
  <si>
    <t>2013-Q1</t>
  </si>
  <si>
    <t>2013-Q2</t>
  </si>
  <si>
    <t>2013-Q3</t>
  </si>
  <si>
    <t>2013-Q4</t>
  </si>
  <si>
    <t>2014-Q1</t>
  </si>
  <si>
    <t>2014-Q2</t>
  </si>
  <si>
    <t>2014-Q3</t>
  </si>
  <si>
    <t>I0001</t>
  </si>
  <si>
    <t>I0002</t>
  </si>
  <si>
    <t>I0003</t>
  </si>
  <si>
    <t>I0004</t>
  </si>
  <si>
    <t>I0005</t>
  </si>
  <si>
    <t>I0006</t>
  </si>
  <si>
    <t>I0007</t>
  </si>
  <si>
    <t>I0008</t>
  </si>
  <si>
    <t>I0009</t>
  </si>
  <si>
    <t>I0010</t>
  </si>
  <si>
    <t>I0011</t>
  </si>
  <si>
    <t>I0012</t>
  </si>
  <si>
    <t>I0013</t>
  </si>
  <si>
    <t>I0014</t>
  </si>
  <si>
    <t>I0015</t>
  </si>
  <si>
    <t>I0016</t>
  </si>
  <si>
    <t>I0017</t>
  </si>
  <si>
    <t>I0018</t>
  </si>
  <si>
    <t>I0019</t>
  </si>
  <si>
    <t>I0020</t>
  </si>
  <si>
    <t>I0021</t>
  </si>
  <si>
    <t>I0022</t>
  </si>
  <si>
    <t>I0023</t>
  </si>
  <si>
    <t>I0024</t>
  </si>
  <si>
    <t>I0025</t>
  </si>
  <si>
    <t>Maintenance ==&gt;&gt;&gt;</t>
  </si>
  <si>
    <t>Percent:</t>
  </si>
  <si>
    <t>2014-Q4</t>
  </si>
  <si>
    <t>PeriodToAdd</t>
  </si>
  <si>
    <t>2009-01</t>
  </si>
  <si>
    <t>2010-01</t>
  </si>
  <si>
    <t>2011-01</t>
  </si>
  <si>
    <t>2012-01</t>
  </si>
  <si>
    <t>2013-01</t>
  </si>
  <si>
    <t>2014-01</t>
  </si>
  <si>
    <t>2009-02</t>
  </si>
  <si>
    <t>2010-02</t>
  </si>
  <si>
    <t>2011-02</t>
  </si>
  <si>
    <t>2012-02</t>
  </si>
  <si>
    <t>2013-02</t>
  </si>
  <si>
    <t>2014-02</t>
  </si>
  <si>
    <t>2009-03</t>
  </si>
  <si>
    <t>2010-03</t>
  </si>
  <si>
    <t>2011-03</t>
  </si>
  <si>
    <t>2012-03</t>
  </si>
  <si>
    <t>2013-03</t>
  </si>
  <si>
    <t>2014-03</t>
  </si>
  <si>
    <t>2009-04</t>
  </si>
  <si>
    <t>2010-04</t>
  </si>
  <si>
    <t>2011-04</t>
  </si>
  <si>
    <t>2012-04</t>
  </si>
  <si>
    <t>2013-04</t>
  </si>
  <si>
    <t>2014-04</t>
  </si>
  <si>
    <t>2009-05</t>
  </si>
  <si>
    <t>2010-05</t>
  </si>
  <si>
    <t>2011-05</t>
  </si>
  <si>
    <t>2012-05</t>
  </si>
  <si>
    <t>2013-05</t>
  </si>
  <si>
    <t>2014-05</t>
  </si>
  <si>
    <t>2009-06</t>
  </si>
  <si>
    <t>2010-06</t>
  </si>
  <si>
    <t>2011-06</t>
  </si>
  <si>
    <t>2012-06</t>
  </si>
  <si>
    <t>2013-06</t>
  </si>
  <si>
    <t>2014-06</t>
  </si>
  <si>
    <t>2009-07</t>
  </si>
  <si>
    <t>2010-07</t>
  </si>
  <si>
    <t>2011-07</t>
  </si>
  <si>
    <t>2012-07</t>
  </si>
  <si>
    <t>2013-07</t>
  </si>
  <si>
    <t>2014-07</t>
  </si>
  <si>
    <t>2009-08</t>
  </si>
  <si>
    <t>2010-08</t>
  </si>
  <si>
    <t>2011-08</t>
  </si>
  <si>
    <t>2012-08</t>
  </si>
  <si>
    <t>2013-08</t>
  </si>
  <si>
    <t>2014-08</t>
  </si>
  <si>
    <t>2009-09</t>
  </si>
  <si>
    <t>2010-09</t>
  </si>
  <si>
    <t>2011-09</t>
  </si>
  <si>
    <t>2012-09</t>
  </si>
  <si>
    <t>2013-09</t>
  </si>
  <si>
    <t>2014-09</t>
  </si>
  <si>
    <t>2009-10</t>
  </si>
  <si>
    <t>2010-10</t>
  </si>
  <si>
    <t>2011-10</t>
  </si>
  <si>
    <t>2012-10</t>
  </si>
  <si>
    <t>2013-10</t>
  </si>
  <si>
    <t>2009-11</t>
  </si>
  <si>
    <t>2010-11</t>
  </si>
  <si>
    <t>2011-11</t>
  </si>
  <si>
    <t>2012-11</t>
  </si>
  <si>
    <t>2013-11</t>
  </si>
  <si>
    <t>2009-12</t>
  </si>
  <si>
    <t>2010-12</t>
  </si>
  <si>
    <t>2011-12</t>
  </si>
  <si>
    <t>2012-12</t>
  </si>
  <si>
    <t>2013-12</t>
  </si>
  <si>
    <t>2014-12-31T00:00:00</t>
  </si>
  <si>
    <t>2015-Q1</t>
  </si>
  <si>
    <t>2015-03-31T00:00:00</t>
  </si>
  <si>
    <t>2015-Q2</t>
  </si>
  <si>
    <t>2015-06-30T00:00:00</t>
  </si>
  <si>
    <t>2015-Q3</t>
  </si>
  <si>
    <t>2015-10-31T00:00:00</t>
  </si>
  <si>
    <t>2015-Q4</t>
  </si>
  <si>
    <t>2015-12-31T00:00:00</t>
  </si>
  <si>
    <t>2014-10</t>
  </si>
  <si>
    <t>2014-11</t>
  </si>
  <si>
    <t>2014-12</t>
  </si>
  <si>
    <t>2014-10-31T00:00:00</t>
  </si>
  <si>
    <t>2014-11-30T00:00:00</t>
  </si>
  <si>
    <t>2015-01</t>
  </si>
  <si>
    <t>2015-01-31T00:00:00</t>
  </si>
  <si>
    <t>2015-02</t>
  </si>
  <si>
    <t>2015-02-28T00:00:00</t>
  </si>
  <si>
    <t>2015-03</t>
  </si>
  <si>
    <t>2015-04</t>
  </si>
  <si>
    <t>2015-04-30T00:00:00</t>
  </si>
  <si>
    <t>2015-05</t>
  </si>
  <si>
    <t>2015-05-31T00:00:00</t>
  </si>
  <si>
    <t>2015-06</t>
  </si>
  <si>
    <t>2015-07</t>
  </si>
  <si>
    <t>2015-07-31T00:00:00</t>
  </si>
  <si>
    <t>2015-08</t>
  </si>
  <si>
    <t>2015-08-31T00:00:00</t>
  </si>
  <si>
    <t>2015-09</t>
  </si>
  <si>
    <t>2015-09-30T00:00:00</t>
  </si>
  <si>
    <t>2015-10</t>
  </si>
  <si>
    <t>2015-11</t>
  </si>
  <si>
    <t>2015-11-30T00:00:00</t>
  </si>
  <si>
    <t>2015-12</t>
  </si>
  <si>
    <t>Acionar com Ctrl+Shit+M</t>
  </si>
  <si>
    <t>I0041</t>
  </si>
  <si>
    <t>Operations Employee Training Index</t>
  </si>
  <si>
    <t>I0042</t>
  </si>
  <si>
    <t>Direct Sales Employee Training</t>
  </si>
  <si>
    <t>I0043</t>
  </si>
  <si>
    <t>Backoffice Employee Training</t>
  </si>
  <si>
    <t>I0047</t>
  </si>
  <si>
    <t>I0048</t>
  </si>
  <si>
    <t>IT Project Efficiency</t>
  </si>
  <si>
    <t>I0051</t>
  </si>
  <si>
    <t>I0052</t>
  </si>
  <si>
    <t>Business User Training Index (AVG Operations + Direct Sales)</t>
  </si>
  <si>
    <t>IT Budget Variance versus Plan</t>
  </si>
  <si>
    <t>IT Operations Budget %</t>
  </si>
  <si>
    <t>IT Customer Satisfaction Index</t>
  </si>
  <si>
    <t>IT Emergency Changes</t>
  </si>
  <si>
    <t>IT Operations Employee Training Index</t>
  </si>
  <si>
    <t>IT Emergency Software Changes</t>
  </si>
  <si>
    <t>IT Development Employee Training Index</t>
  </si>
  <si>
    <t>I0026</t>
  </si>
  <si>
    <t>ITIL Maturity Index</t>
  </si>
  <si>
    <t>I0027</t>
  </si>
  <si>
    <t>IT Project Management Maturity Index</t>
  </si>
  <si>
    <t>I0028</t>
  </si>
  <si>
    <t>IT Security Maturity Index</t>
  </si>
  <si>
    <t>I0030</t>
  </si>
  <si>
    <t>IT Scaled Agile Maturity Index</t>
  </si>
  <si>
    <t>I0031</t>
  </si>
  <si>
    <t>Average IT Demand Closed Days</t>
  </si>
  <si>
    <t xml:space="preserve"> </t>
  </si>
  <si>
    <t>2016-01</t>
  </si>
  <si>
    <t>2016-01-31T00:00:00</t>
  </si>
  <si>
    <t>2016-02</t>
  </si>
  <si>
    <t>2016-02-29T00:00:00</t>
  </si>
  <si>
    <t>2016-03</t>
  </si>
  <si>
    <t>Manual Process Index</t>
  </si>
  <si>
    <t>2016-03-31T00:00:00</t>
  </si>
  <si>
    <t>2016-Q1</t>
  </si>
  <si>
    <t>2016-Q2</t>
  </si>
  <si>
    <t>2016-06-30T00:00:00</t>
  </si>
  <si>
    <t>2016-Q3</t>
  </si>
  <si>
    <t>2016-10-31T00:00:00</t>
  </si>
  <si>
    <t>2016-Q4</t>
  </si>
  <si>
    <t>2016-12-31T00:00:00</t>
  </si>
  <si>
    <t>2017-Q1</t>
  </si>
  <si>
    <t>2017-03-31T00:00:00</t>
  </si>
  <si>
    <t>2016-04</t>
  </si>
  <si>
    <t>2016-04-30T00:00:00</t>
  </si>
  <si>
    <t>2016-05</t>
  </si>
  <si>
    <t>2016-05-31T00:00:00</t>
  </si>
  <si>
    <t>2016-06</t>
  </si>
  <si>
    <t>2016-07</t>
  </si>
  <si>
    <t>2016-07-31T00:00:00</t>
  </si>
  <si>
    <t>2016-08</t>
  </si>
  <si>
    <t>2016-08-31T00:00:00</t>
  </si>
  <si>
    <t>2016-09</t>
  </si>
  <si>
    <t>2016-09-30T00:00:00</t>
  </si>
  <si>
    <t>2016-10</t>
  </si>
  <si>
    <t>2016-11</t>
  </si>
  <si>
    <t>2016-11-30T00:00:00</t>
  </si>
  <si>
    <t>2016-12</t>
  </si>
  <si>
    <t>2017-01</t>
  </si>
  <si>
    <t>2017-01-31T00:00:00</t>
  </si>
  <si>
    <t>2017-02</t>
  </si>
  <si>
    <t>2017-02-28T00:00:00</t>
  </si>
  <si>
    <t>2017-03</t>
  </si>
  <si>
    <t>2017-04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</si>
</sst>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">
    <xf numFmtId="0" fontId="0" fillId="0" borderId="0" xfId="0"/>
    <xf numFmtId="0" fontId="0" fillId="2" borderId="0" xfId="0" applyFill="1"/>
    <xf numFmtId="10" fontId="0" fillId="2" borderId="0" xfId="1" applyNumberFormat="1" applyFont="1" applyFill="1"/>
    <xf numFmtId="2" fontId="0" fillId="0" borderId="0" xfId="0" applyNumberFormat="1"/>
    <xf numFmtId="0" fontId="2" fillId="0" borderId="0" xfId="0" applyFont="1"/>
    <xf numFmtId="0" fontId="0" fillId="3" borderId="0" xfId="0" applyFill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1154"/>
  <sheetViews>
    <sheetView tabSelected="1" topLeftCell="A1137" workbookViewId="0">
      <selection activeCell="E1152" sqref="E1152"/>
    </sheetView>
  </sheetViews>
  <sheetFormatPr defaultRowHeight="15" x14ac:dyDescent="0.25"/>
  <cols>
    <col min="2" max="2" width="13.85546875" bestFit="1" customWidth="1"/>
    <col min="3" max="3" width="14.5703125" bestFit="1" customWidth="1"/>
    <col min="4" max="4" width="18.85546875" bestFit="1" customWidth="1"/>
    <col min="5" max="5" width="14.42578125" bestFit="1" customWidth="1"/>
    <col min="8" max="8" width="18.28515625" bestFit="1" customWidth="1"/>
    <col min="9" max="9" width="1.5703125" customWidth="1"/>
    <col min="10" max="10" width="15" customWidth="1"/>
    <col min="12" max="12" width="1.85546875" customWidth="1"/>
    <col min="13" max="13" width="9.85546875" bestFit="1" customWidth="1"/>
  </cols>
  <sheetData>
    <row r="1" spans="1:17" x14ac:dyDescent="0.25">
      <c r="A1" t="s">
        <v>0</v>
      </c>
      <c r="B1" t="s">
        <v>26</v>
      </c>
      <c r="C1" t="s">
        <v>27</v>
      </c>
      <c r="D1" t="s">
        <v>28</v>
      </c>
      <c r="E1" t="s">
        <v>29</v>
      </c>
      <c r="H1" t="s">
        <v>484</v>
      </c>
      <c r="J1" t="s">
        <v>487</v>
      </c>
      <c r="K1" s="1" t="s">
        <v>658</v>
      </c>
      <c r="M1" t="s">
        <v>485</v>
      </c>
      <c r="N1" s="2">
        <v>0.03</v>
      </c>
      <c r="O1" s="5" t="s">
        <v>591</v>
      </c>
      <c r="P1" s="5"/>
      <c r="Q1" s="5"/>
    </row>
    <row r="2" spans="1:17" x14ac:dyDescent="0.25">
      <c r="A2" t="s">
        <v>459</v>
      </c>
      <c r="B2" t="str">
        <f>CONCATENATE(A2,"M",C2)</f>
        <v>I0001M2009-Q1</v>
      </c>
      <c r="C2" t="s">
        <v>41</v>
      </c>
      <c r="D2" t="s">
        <v>44</v>
      </c>
      <c r="E2">
        <v>32</v>
      </c>
      <c r="F2" t="s">
        <v>182</v>
      </c>
    </row>
    <row r="3" spans="1:17" x14ac:dyDescent="0.25">
      <c r="A3" t="s">
        <v>459</v>
      </c>
      <c r="B3" t="str">
        <f t="shared" ref="B3:B86" si="0">CONCATENATE(A3,"M",C3)</f>
        <v>I0001M2009-Q2</v>
      </c>
      <c r="C3" t="s">
        <v>42</v>
      </c>
      <c r="D3" t="s">
        <v>45</v>
      </c>
      <c r="E3">
        <v>34</v>
      </c>
    </row>
    <row r="4" spans="1:17" x14ac:dyDescent="0.25">
      <c r="A4" t="s">
        <v>459</v>
      </c>
      <c r="B4" t="str">
        <f t="shared" si="0"/>
        <v>I0001M2009-Q3</v>
      </c>
      <c r="C4" t="s">
        <v>43</v>
      </c>
      <c r="D4" t="s">
        <v>46</v>
      </c>
      <c r="E4">
        <v>36</v>
      </c>
    </row>
    <row r="5" spans="1:17" x14ac:dyDescent="0.25">
      <c r="A5" t="s">
        <v>459</v>
      </c>
      <c r="B5" t="str">
        <f t="shared" si="0"/>
        <v>I0001M2009-Q4</v>
      </c>
      <c r="C5" t="s">
        <v>40</v>
      </c>
      <c r="D5" t="s">
        <v>47</v>
      </c>
      <c r="E5">
        <v>36</v>
      </c>
    </row>
    <row r="6" spans="1:17" x14ac:dyDescent="0.25">
      <c r="A6" t="s">
        <v>459</v>
      </c>
      <c r="B6" t="str">
        <f t="shared" si="0"/>
        <v>I0001M2010-Q1</v>
      </c>
      <c r="C6" t="s">
        <v>19</v>
      </c>
      <c r="D6" t="s">
        <v>24</v>
      </c>
      <c r="E6">
        <v>36</v>
      </c>
    </row>
    <row r="7" spans="1:17" x14ac:dyDescent="0.25">
      <c r="A7" t="s">
        <v>459</v>
      </c>
      <c r="B7" t="str">
        <f t="shared" si="0"/>
        <v>I0001M2010-Q2</v>
      </c>
      <c r="C7" t="s">
        <v>20</v>
      </c>
      <c r="D7" t="s">
        <v>23</v>
      </c>
      <c r="E7">
        <v>36</v>
      </c>
    </row>
    <row r="8" spans="1:17" x14ac:dyDescent="0.25">
      <c r="A8" t="s">
        <v>459</v>
      </c>
      <c r="B8" t="str">
        <f t="shared" si="0"/>
        <v>I0001M2010-Q3</v>
      </c>
      <c r="C8" t="s">
        <v>21</v>
      </c>
      <c r="D8" t="s">
        <v>22</v>
      </c>
      <c r="E8">
        <v>37</v>
      </c>
    </row>
    <row r="9" spans="1:17" x14ac:dyDescent="0.25">
      <c r="A9" t="s">
        <v>459</v>
      </c>
      <c r="B9" t="str">
        <f t="shared" si="0"/>
        <v>I0001M2010-Q4</v>
      </c>
      <c r="C9" t="s">
        <v>11</v>
      </c>
      <c r="D9" t="s">
        <v>2</v>
      </c>
      <c r="E9">
        <v>38</v>
      </c>
    </row>
    <row r="10" spans="1:17" x14ac:dyDescent="0.25">
      <c r="A10" t="s">
        <v>459</v>
      </c>
      <c r="B10" t="str">
        <f t="shared" si="0"/>
        <v>I0001M2011-Q1</v>
      </c>
      <c r="C10" t="s">
        <v>12</v>
      </c>
      <c r="D10" t="s">
        <v>16</v>
      </c>
      <c r="E10">
        <v>41</v>
      </c>
    </row>
    <row r="11" spans="1:17" x14ac:dyDescent="0.25">
      <c r="A11" t="s">
        <v>459</v>
      </c>
      <c r="B11" t="str">
        <f t="shared" si="0"/>
        <v>I0001M2011-Q2</v>
      </c>
      <c r="C11" t="s">
        <v>13</v>
      </c>
      <c r="D11" t="s">
        <v>18</v>
      </c>
      <c r="E11">
        <v>42</v>
      </c>
    </row>
    <row r="12" spans="1:17" x14ac:dyDescent="0.25">
      <c r="A12" t="s">
        <v>459</v>
      </c>
      <c r="B12" t="str">
        <f t="shared" si="0"/>
        <v>I0001M2011-Q3</v>
      </c>
      <c r="C12" t="s">
        <v>14</v>
      </c>
      <c r="D12" t="s">
        <v>17</v>
      </c>
      <c r="E12">
        <v>44</v>
      </c>
    </row>
    <row r="13" spans="1:17" x14ac:dyDescent="0.25">
      <c r="A13" t="s">
        <v>459</v>
      </c>
      <c r="B13" t="str">
        <f t="shared" si="0"/>
        <v>I0001M2011-Q4</v>
      </c>
      <c r="C13" t="s">
        <v>15</v>
      </c>
      <c r="D13" t="s">
        <v>3</v>
      </c>
      <c r="E13">
        <v>46</v>
      </c>
    </row>
    <row r="14" spans="1:17" x14ac:dyDescent="0.25">
      <c r="A14" t="s">
        <v>459</v>
      </c>
      <c r="B14" t="str">
        <f t="shared" si="0"/>
        <v>I0001M2012-Q1</v>
      </c>
      <c r="C14" t="s">
        <v>418</v>
      </c>
      <c r="D14" t="s">
        <v>415</v>
      </c>
      <c r="E14">
        <v>47</v>
      </c>
    </row>
    <row r="15" spans="1:17" x14ac:dyDescent="0.25">
      <c r="A15" t="s">
        <v>459</v>
      </c>
      <c r="B15" t="str">
        <f t="shared" si="0"/>
        <v>I0001M2012-Q2</v>
      </c>
      <c r="C15" t="s">
        <v>419</v>
      </c>
      <c r="D15" t="s">
        <v>416</v>
      </c>
      <c r="E15">
        <v>47</v>
      </c>
    </row>
    <row r="16" spans="1:17" x14ac:dyDescent="0.25">
      <c r="A16" t="s">
        <v>459</v>
      </c>
      <c r="B16" t="str">
        <f t="shared" si="0"/>
        <v>I0001M2012-Q3</v>
      </c>
      <c r="C16" t="s">
        <v>420</v>
      </c>
      <c r="D16" t="s">
        <v>417</v>
      </c>
      <c r="E16">
        <v>48</v>
      </c>
    </row>
    <row r="17" spans="1:5" x14ac:dyDescent="0.25">
      <c r="A17" t="s">
        <v>459</v>
      </c>
      <c r="B17" t="str">
        <f t="shared" si="0"/>
        <v>I0001M2012-Q4</v>
      </c>
      <c r="C17" t="s">
        <v>451</v>
      </c>
      <c r="D17" t="s">
        <v>450</v>
      </c>
      <c r="E17">
        <v>45</v>
      </c>
    </row>
    <row r="18" spans="1:5" x14ac:dyDescent="0.25">
      <c r="A18" t="s">
        <v>459</v>
      </c>
      <c r="B18" t="str">
        <f t="shared" si="0"/>
        <v>I0001M2013-Q1</v>
      </c>
      <c r="C18" t="s">
        <v>452</v>
      </c>
      <c r="D18" t="s">
        <v>439</v>
      </c>
      <c r="E18">
        <v>48</v>
      </c>
    </row>
    <row r="19" spans="1:5" x14ac:dyDescent="0.25">
      <c r="A19" t="s">
        <v>459</v>
      </c>
      <c r="B19" t="str">
        <f t="shared" si="0"/>
        <v>I0001M2013-Q2</v>
      </c>
      <c r="C19" t="s">
        <v>453</v>
      </c>
      <c r="D19" t="s">
        <v>442</v>
      </c>
      <c r="E19">
        <v>50</v>
      </c>
    </row>
    <row r="20" spans="1:5" x14ac:dyDescent="0.25">
      <c r="A20" t="s">
        <v>459</v>
      </c>
      <c r="B20" t="str">
        <f t="shared" si="0"/>
        <v>I0001M2013-Q3</v>
      </c>
      <c r="C20" t="s">
        <v>454</v>
      </c>
      <c r="D20" t="s">
        <v>445</v>
      </c>
      <c r="E20">
        <v>51</v>
      </c>
    </row>
    <row r="21" spans="1:5" x14ac:dyDescent="0.25">
      <c r="A21" t="s">
        <v>459</v>
      </c>
      <c r="B21" t="str">
        <f t="shared" si="0"/>
        <v>I0001M2013-Q4</v>
      </c>
      <c r="C21" t="s">
        <v>455</v>
      </c>
      <c r="D21" t="s">
        <v>436</v>
      </c>
      <c r="E21">
        <v>50</v>
      </c>
    </row>
    <row r="22" spans="1:5" x14ac:dyDescent="0.25">
      <c r="A22" t="s">
        <v>459</v>
      </c>
      <c r="B22" t="str">
        <f t="shared" si="0"/>
        <v>I0001M2014-Q1</v>
      </c>
      <c r="C22" t="s">
        <v>456</v>
      </c>
      <c r="D22" t="s">
        <v>430</v>
      </c>
      <c r="E22">
        <v>52</v>
      </c>
    </row>
    <row r="23" spans="1:5" x14ac:dyDescent="0.25">
      <c r="A23" t="s">
        <v>459</v>
      </c>
      <c r="B23" t="str">
        <f t="shared" si="0"/>
        <v>I0001M2014-Q2</v>
      </c>
      <c r="C23" t="s">
        <v>457</v>
      </c>
      <c r="D23" t="s">
        <v>433</v>
      </c>
      <c r="E23">
        <v>55</v>
      </c>
    </row>
    <row r="24" spans="1:5" x14ac:dyDescent="0.25">
      <c r="A24" t="s">
        <v>459</v>
      </c>
      <c r="B24" t="str">
        <f t="shared" si="0"/>
        <v>I0001M2014-Q3</v>
      </c>
      <c r="C24" t="s">
        <v>458</v>
      </c>
      <c r="D24" t="s">
        <v>427</v>
      </c>
      <c r="E24">
        <v>56</v>
      </c>
    </row>
    <row r="25" spans="1:5" x14ac:dyDescent="0.25">
      <c r="A25" t="s">
        <v>459</v>
      </c>
      <c r="B25" t="str">
        <f t="shared" si="0"/>
        <v>I0001M2014-Q4</v>
      </c>
      <c r="C25" t="s">
        <v>486</v>
      </c>
      <c r="D25" t="s">
        <v>557</v>
      </c>
      <c r="E25">
        <v>57</v>
      </c>
    </row>
    <row r="26" spans="1:5" x14ac:dyDescent="0.25">
      <c r="A26" t="s">
        <v>459</v>
      </c>
      <c r="B26" t="str">
        <f t="shared" si="0"/>
        <v>I0001M2015-Q1</v>
      </c>
      <c r="C26" t="s">
        <v>558</v>
      </c>
      <c r="D26" t="s">
        <v>559</v>
      </c>
      <c r="E26">
        <v>58</v>
      </c>
    </row>
    <row r="27" spans="1:5" x14ac:dyDescent="0.25">
      <c r="A27" t="s">
        <v>459</v>
      </c>
      <c r="B27" t="str">
        <f t="shared" si="0"/>
        <v>I0001M2015-Q2</v>
      </c>
      <c r="C27" t="s">
        <v>560</v>
      </c>
      <c r="D27" t="s">
        <v>561</v>
      </c>
      <c r="E27">
        <v>58</v>
      </c>
    </row>
    <row r="28" spans="1:5" x14ac:dyDescent="0.25">
      <c r="A28" t="s">
        <v>459</v>
      </c>
      <c r="B28" t="str">
        <f t="shared" si="0"/>
        <v>I0001M2015-Q3</v>
      </c>
      <c r="C28" t="s">
        <v>562</v>
      </c>
      <c r="D28" t="s">
        <v>563</v>
      </c>
      <c r="E28">
        <v>58</v>
      </c>
    </row>
    <row r="29" spans="1:5" x14ac:dyDescent="0.25">
      <c r="A29" t="s">
        <v>459</v>
      </c>
      <c r="B29" t="str">
        <f t="shared" si="0"/>
        <v>I0001M2015-Q4</v>
      </c>
      <c r="C29" t="s">
        <v>564</v>
      </c>
      <c r="D29" t="s">
        <v>565</v>
      </c>
      <c r="E29">
        <v>58</v>
      </c>
    </row>
    <row r="30" spans="1:5" x14ac:dyDescent="0.25">
      <c r="A30" t="s">
        <v>459</v>
      </c>
      <c r="B30" t="str">
        <f t="shared" si="0"/>
        <v>I0001M2016-Q1</v>
      </c>
      <c r="C30" t="s">
        <v>629</v>
      </c>
      <c r="D30" t="s">
        <v>628</v>
      </c>
      <c r="E30">
        <v>59</v>
      </c>
    </row>
    <row r="31" spans="1:5" x14ac:dyDescent="0.25">
      <c r="A31" t="s">
        <v>459</v>
      </c>
      <c r="B31" t="str">
        <f t="shared" si="0"/>
        <v>I0001M2016-Q2</v>
      </c>
      <c r="C31" t="s">
        <v>630</v>
      </c>
      <c r="D31" t="s">
        <v>631</v>
      </c>
      <c r="E31">
        <v>59</v>
      </c>
    </row>
    <row r="32" spans="1:5" x14ac:dyDescent="0.25">
      <c r="A32" t="s">
        <v>459</v>
      </c>
      <c r="B32" t="str">
        <f t="shared" si="0"/>
        <v>I0001M2016-Q3</v>
      </c>
      <c r="C32" t="s">
        <v>632</v>
      </c>
      <c r="D32" t="s">
        <v>633</v>
      </c>
      <c r="E32">
        <v>59</v>
      </c>
    </row>
    <row r="33" spans="1:6" x14ac:dyDescent="0.25">
      <c r="A33" t="s">
        <v>459</v>
      </c>
      <c r="B33" t="str">
        <f t="shared" si="0"/>
        <v>I0001M2016-Q4</v>
      </c>
      <c r="C33" t="s">
        <v>634</v>
      </c>
      <c r="D33" t="s">
        <v>635</v>
      </c>
      <c r="E33">
        <v>59</v>
      </c>
    </row>
    <row r="34" spans="1:6" x14ac:dyDescent="0.25">
      <c r="A34" t="s">
        <v>459</v>
      </c>
      <c r="B34" t="str">
        <f t="shared" si="0"/>
        <v>I0001M2017-Q1</v>
      </c>
      <c r="C34" t="s">
        <v>636</v>
      </c>
      <c r="D34" t="s">
        <v>637</v>
      </c>
      <c r="E34">
        <v>60</v>
      </c>
    </row>
    <row r="35" spans="1:6" x14ac:dyDescent="0.25">
      <c r="A35" t="s">
        <v>460</v>
      </c>
      <c r="B35" t="str">
        <f t="shared" si="0"/>
        <v>I0002M2009-Q1</v>
      </c>
      <c r="C35" t="s">
        <v>41</v>
      </c>
      <c r="D35" t="s">
        <v>44</v>
      </c>
      <c r="E35">
        <v>58</v>
      </c>
      <c r="F35" t="s">
        <v>48</v>
      </c>
    </row>
    <row r="36" spans="1:6" x14ac:dyDescent="0.25">
      <c r="A36" t="s">
        <v>460</v>
      </c>
      <c r="B36" t="str">
        <f t="shared" si="0"/>
        <v>I0002M2009-Q2</v>
      </c>
      <c r="C36" t="s">
        <v>42</v>
      </c>
      <c r="D36" t="s">
        <v>45</v>
      </c>
      <c r="E36">
        <v>61</v>
      </c>
    </row>
    <row r="37" spans="1:6" x14ac:dyDescent="0.25">
      <c r="A37" t="s">
        <v>460</v>
      </c>
      <c r="B37" t="str">
        <f t="shared" si="0"/>
        <v>I0002M2009-Q3</v>
      </c>
      <c r="C37" t="s">
        <v>43</v>
      </c>
      <c r="D37" t="s">
        <v>46</v>
      </c>
      <c r="E37">
        <v>65</v>
      </c>
    </row>
    <row r="38" spans="1:6" x14ac:dyDescent="0.25">
      <c r="A38" t="s">
        <v>460</v>
      </c>
      <c r="B38" t="str">
        <f t="shared" si="0"/>
        <v>I0002M2009-Q4</v>
      </c>
      <c r="C38" t="s">
        <v>40</v>
      </c>
      <c r="D38" t="s">
        <v>47</v>
      </c>
      <c r="E38">
        <v>66</v>
      </c>
    </row>
    <row r="39" spans="1:6" x14ac:dyDescent="0.25">
      <c r="A39" t="s">
        <v>460</v>
      </c>
      <c r="B39" t="str">
        <f t="shared" si="0"/>
        <v>I0002M2010-Q1</v>
      </c>
      <c r="C39" t="s">
        <v>19</v>
      </c>
      <c r="D39" t="s">
        <v>24</v>
      </c>
      <c r="E39">
        <v>66</v>
      </c>
    </row>
    <row r="40" spans="1:6" x14ac:dyDescent="0.25">
      <c r="A40" t="s">
        <v>460</v>
      </c>
      <c r="B40" t="str">
        <f t="shared" si="0"/>
        <v>I0002M2010-Q2</v>
      </c>
      <c r="C40" t="s">
        <v>20</v>
      </c>
      <c r="D40" t="s">
        <v>23</v>
      </c>
      <c r="E40">
        <v>71</v>
      </c>
    </row>
    <row r="41" spans="1:6" x14ac:dyDescent="0.25">
      <c r="A41" t="s">
        <v>460</v>
      </c>
      <c r="B41" t="str">
        <f t="shared" si="0"/>
        <v>I0002M2010-Q3</v>
      </c>
      <c r="C41" t="s">
        <v>21</v>
      </c>
      <c r="D41" t="s">
        <v>22</v>
      </c>
      <c r="E41">
        <v>72</v>
      </c>
    </row>
    <row r="42" spans="1:6" x14ac:dyDescent="0.25">
      <c r="A42" t="s">
        <v>460</v>
      </c>
      <c r="B42" t="str">
        <f t="shared" si="0"/>
        <v>I0002M2010-Q4</v>
      </c>
      <c r="C42" t="s">
        <v>11</v>
      </c>
      <c r="D42" t="s">
        <v>2</v>
      </c>
      <c r="E42">
        <v>71</v>
      </c>
    </row>
    <row r="43" spans="1:6" x14ac:dyDescent="0.25">
      <c r="A43" t="s">
        <v>460</v>
      </c>
      <c r="B43" t="str">
        <f t="shared" si="0"/>
        <v>I0002M2011-Q1</v>
      </c>
      <c r="C43" t="s">
        <v>12</v>
      </c>
      <c r="D43" t="s">
        <v>16</v>
      </c>
      <c r="E43">
        <v>69</v>
      </c>
    </row>
    <row r="44" spans="1:6" x14ac:dyDescent="0.25">
      <c r="A44" t="s">
        <v>460</v>
      </c>
      <c r="B44" t="str">
        <f t="shared" si="0"/>
        <v>I0002M2011-Q2</v>
      </c>
      <c r="C44" t="s">
        <v>13</v>
      </c>
      <c r="D44" t="s">
        <v>18</v>
      </c>
      <c r="E44">
        <v>73</v>
      </c>
    </row>
    <row r="45" spans="1:6" x14ac:dyDescent="0.25">
      <c r="A45" t="s">
        <v>460</v>
      </c>
      <c r="B45" t="str">
        <f t="shared" si="0"/>
        <v>I0002M2011-Q3</v>
      </c>
      <c r="C45" t="s">
        <v>14</v>
      </c>
      <c r="D45" t="s">
        <v>17</v>
      </c>
      <c r="E45">
        <v>75</v>
      </c>
    </row>
    <row r="46" spans="1:6" x14ac:dyDescent="0.25">
      <c r="A46" t="s">
        <v>460</v>
      </c>
      <c r="B46" t="str">
        <f t="shared" si="0"/>
        <v>I0002M2011-Q4</v>
      </c>
      <c r="C46" t="s">
        <v>15</v>
      </c>
      <c r="D46" t="s">
        <v>3</v>
      </c>
      <c r="E46">
        <v>75</v>
      </c>
    </row>
    <row r="47" spans="1:6" x14ac:dyDescent="0.25">
      <c r="A47" t="s">
        <v>460</v>
      </c>
      <c r="B47" t="str">
        <f t="shared" si="0"/>
        <v>I0002M2012-Q1</v>
      </c>
      <c r="C47" t="s">
        <v>418</v>
      </c>
      <c r="D47" t="s">
        <v>415</v>
      </c>
      <c r="E47">
        <v>77</v>
      </c>
    </row>
    <row r="48" spans="1:6" x14ac:dyDescent="0.25">
      <c r="A48" t="s">
        <v>460</v>
      </c>
      <c r="B48" t="str">
        <f t="shared" si="0"/>
        <v>I0002M2012-Q2</v>
      </c>
      <c r="C48" t="s">
        <v>419</v>
      </c>
      <c r="D48" t="s">
        <v>416</v>
      </c>
      <c r="E48">
        <v>76</v>
      </c>
    </row>
    <row r="49" spans="1:5" x14ac:dyDescent="0.25">
      <c r="A49" t="s">
        <v>460</v>
      </c>
      <c r="B49" t="str">
        <f t="shared" si="0"/>
        <v>I0002M2012-Q3</v>
      </c>
      <c r="C49" t="s">
        <v>420</v>
      </c>
      <c r="D49" t="s">
        <v>417</v>
      </c>
      <c r="E49">
        <v>77</v>
      </c>
    </row>
    <row r="50" spans="1:5" x14ac:dyDescent="0.25">
      <c r="A50" t="s">
        <v>460</v>
      </c>
      <c r="B50" t="str">
        <f t="shared" si="0"/>
        <v>I0002M2012-Q4</v>
      </c>
      <c r="C50" t="s">
        <v>451</v>
      </c>
      <c r="D50" t="s">
        <v>450</v>
      </c>
      <c r="E50">
        <v>75</v>
      </c>
    </row>
    <row r="51" spans="1:5" x14ac:dyDescent="0.25">
      <c r="A51" t="s">
        <v>460</v>
      </c>
      <c r="B51" t="str">
        <f t="shared" si="0"/>
        <v>I0002M2013-Q1</v>
      </c>
      <c r="C51" t="s">
        <v>452</v>
      </c>
      <c r="D51" t="s">
        <v>439</v>
      </c>
      <c r="E51">
        <v>77</v>
      </c>
    </row>
    <row r="52" spans="1:5" x14ac:dyDescent="0.25">
      <c r="A52" t="s">
        <v>460</v>
      </c>
      <c r="B52" t="str">
        <f t="shared" si="0"/>
        <v>I0002M2013-Q2</v>
      </c>
      <c r="C52" t="s">
        <v>453</v>
      </c>
      <c r="D52" t="s">
        <v>442</v>
      </c>
      <c r="E52">
        <v>74</v>
      </c>
    </row>
    <row r="53" spans="1:5" x14ac:dyDescent="0.25">
      <c r="A53" t="s">
        <v>460</v>
      </c>
      <c r="B53" t="str">
        <f t="shared" si="0"/>
        <v>I0002M2013-Q3</v>
      </c>
      <c r="C53" t="s">
        <v>454</v>
      </c>
      <c r="D53" t="s">
        <v>445</v>
      </c>
      <c r="E53">
        <v>78</v>
      </c>
    </row>
    <row r="54" spans="1:5" x14ac:dyDescent="0.25">
      <c r="A54" t="s">
        <v>460</v>
      </c>
      <c r="B54" t="str">
        <f t="shared" si="0"/>
        <v>I0002M2013-Q4</v>
      </c>
      <c r="C54" t="s">
        <v>455</v>
      </c>
      <c r="D54" t="s">
        <v>436</v>
      </c>
      <c r="E54">
        <v>76</v>
      </c>
    </row>
    <row r="55" spans="1:5" x14ac:dyDescent="0.25">
      <c r="A55" t="s">
        <v>460</v>
      </c>
      <c r="B55" t="str">
        <f t="shared" si="0"/>
        <v>I0002M2014-Q1</v>
      </c>
      <c r="C55" t="s">
        <v>456</v>
      </c>
      <c r="D55" t="s">
        <v>430</v>
      </c>
      <c r="E55">
        <v>78</v>
      </c>
    </row>
    <row r="56" spans="1:5" x14ac:dyDescent="0.25">
      <c r="A56" t="s">
        <v>460</v>
      </c>
      <c r="B56" t="str">
        <f t="shared" si="0"/>
        <v>I0002M2014-Q2</v>
      </c>
      <c r="C56" t="s">
        <v>457</v>
      </c>
      <c r="D56" t="s">
        <v>433</v>
      </c>
      <c r="E56">
        <v>79</v>
      </c>
    </row>
    <row r="57" spans="1:5" x14ac:dyDescent="0.25">
      <c r="A57" t="s">
        <v>460</v>
      </c>
      <c r="B57" t="str">
        <f t="shared" si="0"/>
        <v>I0002M2014-Q3</v>
      </c>
      <c r="C57" t="s">
        <v>458</v>
      </c>
      <c r="D57" t="s">
        <v>427</v>
      </c>
      <c r="E57">
        <v>82</v>
      </c>
    </row>
    <row r="58" spans="1:5" x14ac:dyDescent="0.25">
      <c r="A58" t="s">
        <v>460</v>
      </c>
      <c r="B58" t="str">
        <f t="shared" si="0"/>
        <v>I0002M2014-Q4</v>
      </c>
      <c r="C58" t="s">
        <v>486</v>
      </c>
      <c r="D58" t="s">
        <v>557</v>
      </c>
      <c r="E58">
        <v>83</v>
      </c>
    </row>
    <row r="59" spans="1:5" x14ac:dyDescent="0.25">
      <c r="A59" t="s">
        <v>460</v>
      </c>
      <c r="B59" t="str">
        <f t="shared" si="0"/>
        <v>I0002M2015-Q1</v>
      </c>
      <c r="C59" t="s">
        <v>558</v>
      </c>
      <c r="D59" t="s">
        <v>559</v>
      </c>
      <c r="E59">
        <v>84</v>
      </c>
    </row>
    <row r="60" spans="1:5" x14ac:dyDescent="0.25">
      <c r="A60" t="s">
        <v>460</v>
      </c>
      <c r="B60" t="str">
        <f t="shared" si="0"/>
        <v>I0002M2015-Q2</v>
      </c>
      <c r="C60" t="s">
        <v>560</v>
      </c>
      <c r="D60" t="s">
        <v>561</v>
      </c>
      <c r="E60">
        <v>84</v>
      </c>
    </row>
    <row r="61" spans="1:5" x14ac:dyDescent="0.25">
      <c r="A61" t="s">
        <v>460</v>
      </c>
      <c r="B61" t="str">
        <f t="shared" si="0"/>
        <v>I0002M2015-Q3</v>
      </c>
      <c r="C61" t="s">
        <v>562</v>
      </c>
      <c r="D61" t="s">
        <v>563</v>
      </c>
      <c r="E61">
        <v>84</v>
      </c>
    </row>
    <row r="62" spans="1:5" x14ac:dyDescent="0.25">
      <c r="A62" t="s">
        <v>460</v>
      </c>
      <c r="B62" t="str">
        <f t="shared" si="0"/>
        <v>I0002M2015-Q4</v>
      </c>
      <c r="C62" t="s">
        <v>564</v>
      </c>
      <c r="D62" t="s">
        <v>565</v>
      </c>
      <c r="E62">
        <v>84</v>
      </c>
    </row>
    <row r="63" spans="1:5" x14ac:dyDescent="0.25">
      <c r="A63" t="s">
        <v>460</v>
      </c>
      <c r="B63" t="str">
        <f t="shared" si="0"/>
        <v>I0002M2016-Q1</v>
      </c>
      <c r="C63" t="s">
        <v>629</v>
      </c>
      <c r="D63" t="s">
        <v>628</v>
      </c>
      <c r="E63">
        <v>85</v>
      </c>
    </row>
    <row r="64" spans="1:5" x14ac:dyDescent="0.25">
      <c r="A64" t="s">
        <v>460</v>
      </c>
      <c r="B64" t="str">
        <f t="shared" si="0"/>
        <v>I0002M2016-Q2</v>
      </c>
      <c r="C64" t="s">
        <v>630</v>
      </c>
      <c r="D64" t="s">
        <v>631</v>
      </c>
      <c r="E64">
        <v>85</v>
      </c>
    </row>
    <row r="65" spans="1:6" x14ac:dyDescent="0.25">
      <c r="A65" t="s">
        <v>460</v>
      </c>
      <c r="B65" t="str">
        <f t="shared" si="0"/>
        <v>I0002M2016-Q3</v>
      </c>
      <c r="C65" t="s">
        <v>632</v>
      </c>
      <c r="D65" t="s">
        <v>633</v>
      </c>
      <c r="E65">
        <v>85</v>
      </c>
    </row>
    <row r="66" spans="1:6" x14ac:dyDescent="0.25">
      <c r="A66" t="s">
        <v>460</v>
      </c>
      <c r="B66" t="str">
        <f t="shared" si="0"/>
        <v>I0002M2016-Q4</v>
      </c>
      <c r="C66" t="s">
        <v>634</v>
      </c>
      <c r="D66" t="s">
        <v>635</v>
      </c>
      <c r="E66">
        <v>85</v>
      </c>
    </row>
    <row r="67" spans="1:6" x14ac:dyDescent="0.25">
      <c r="A67" t="s">
        <v>460</v>
      </c>
      <c r="B67" t="str">
        <f t="shared" si="0"/>
        <v>I0002M2017-Q1</v>
      </c>
      <c r="C67" t="s">
        <v>636</v>
      </c>
      <c r="D67" t="s">
        <v>637</v>
      </c>
      <c r="E67">
        <v>86</v>
      </c>
    </row>
    <row r="68" spans="1:6" x14ac:dyDescent="0.25">
      <c r="A68" t="s">
        <v>461</v>
      </c>
      <c r="B68" t="str">
        <f t="shared" si="0"/>
        <v>I0003M2009-Q1</v>
      </c>
      <c r="C68" t="s">
        <v>41</v>
      </c>
      <c r="D68" t="s">
        <v>44</v>
      </c>
      <c r="E68">
        <v>12</v>
      </c>
      <c r="F68" t="s">
        <v>183</v>
      </c>
    </row>
    <row r="69" spans="1:6" x14ac:dyDescent="0.25">
      <c r="A69" t="s">
        <v>461</v>
      </c>
      <c r="B69" t="str">
        <f t="shared" si="0"/>
        <v>I0003M2009-Q2</v>
      </c>
      <c r="C69" t="s">
        <v>42</v>
      </c>
      <c r="D69" t="s">
        <v>45</v>
      </c>
      <c r="E69">
        <v>16</v>
      </c>
    </row>
    <row r="70" spans="1:6" x14ac:dyDescent="0.25">
      <c r="A70" t="s">
        <v>461</v>
      </c>
      <c r="B70" t="str">
        <f t="shared" si="0"/>
        <v>I0003M2009-Q3</v>
      </c>
      <c r="C70" t="s">
        <v>43</v>
      </c>
      <c r="D70" t="s">
        <v>46</v>
      </c>
      <c r="E70">
        <v>18</v>
      </c>
    </row>
    <row r="71" spans="1:6" x14ac:dyDescent="0.25">
      <c r="A71" t="s">
        <v>461</v>
      </c>
      <c r="B71" t="str">
        <f t="shared" si="0"/>
        <v>I0003M2009-Q4</v>
      </c>
      <c r="C71" t="s">
        <v>40</v>
      </c>
      <c r="D71" t="s">
        <v>47</v>
      </c>
      <c r="E71">
        <v>18</v>
      </c>
    </row>
    <row r="72" spans="1:6" x14ac:dyDescent="0.25">
      <c r="A72" t="s">
        <v>461</v>
      </c>
      <c r="B72" t="str">
        <f t="shared" si="0"/>
        <v>I0003M2010-Q1</v>
      </c>
      <c r="C72" t="s">
        <v>19</v>
      </c>
      <c r="D72" t="s">
        <v>24</v>
      </c>
      <c r="E72">
        <v>18</v>
      </c>
    </row>
    <row r="73" spans="1:6" x14ac:dyDescent="0.25">
      <c r="A73" t="s">
        <v>461</v>
      </c>
      <c r="B73" t="str">
        <f t="shared" si="0"/>
        <v>I0003M2010-Q2</v>
      </c>
      <c r="C73" t="s">
        <v>20</v>
      </c>
      <c r="D73" t="s">
        <v>23</v>
      </c>
      <c r="E73">
        <v>19</v>
      </c>
    </row>
    <row r="74" spans="1:6" x14ac:dyDescent="0.25">
      <c r="A74" t="s">
        <v>461</v>
      </c>
      <c r="B74" t="str">
        <f t="shared" si="0"/>
        <v>I0003M2010-Q3</v>
      </c>
      <c r="C74" t="s">
        <v>21</v>
      </c>
      <c r="D74" t="s">
        <v>22</v>
      </c>
      <c r="E74">
        <v>19</v>
      </c>
    </row>
    <row r="75" spans="1:6" x14ac:dyDescent="0.25">
      <c r="A75" t="s">
        <v>461</v>
      </c>
      <c r="B75" t="str">
        <f t="shared" si="0"/>
        <v>I0003M2010-Q4</v>
      </c>
      <c r="C75" t="s">
        <v>11</v>
      </c>
      <c r="D75" t="s">
        <v>2</v>
      </c>
      <c r="E75">
        <v>22</v>
      </c>
    </row>
    <row r="76" spans="1:6" x14ac:dyDescent="0.25">
      <c r="A76" t="s">
        <v>461</v>
      </c>
      <c r="B76" t="str">
        <f t="shared" si="0"/>
        <v>I0003M2011-Q1</v>
      </c>
      <c r="C76" t="s">
        <v>12</v>
      </c>
      <c r="D76" t="s">
        <v>16</v>
      </c>
      <c r="E76">
        <v>22</v>
      </c>
    </row>
    <row r="77" spans="1:6" x14ac:dyDescent="0.25">
      <c r="A77" t="s">
        <v>461</v>
      </c>
      <c r="B77" t="str">
        <f t="shared" si="0"/>
        <v>I0003M2011-Q2</v>
      </c>
      <c r="C77" t="s">
        <v>13</v>
      </c>
      <c r="D77" t="s">
        <v>18</v>
      </c>
      <c r="E77">
        <v>23</v>
      </c>
    </row>
    <row r="78" spans="1:6" x14ac:dyDescent="0.25">
      <c r="A78" t="s">
        <v>461</v>
      </c>
      <c r="B78" t="str">
        <f t="shared" si="0"/>
        <v>I0003M2011-Q3</v>
      </c>
      <c r="C78" t="s">
        <v>14</v>
      </c>
      <c r="D78" t="s">
        <v>17</v>
      </c>
      <c r="E78">
        <v>24</v>
      </c>
    </row>
    <row r="79" spans="1:6" x14ac:dyDescent="0.25">
      <c r="A79" t="s">
        <v>461</v>
      </c>
      <c r="B79" t="str">
        <f t="shared" si="0"/>
        <v>I0003M2011-Q4</v>
      </c>
      <c r="C79" t="s">
        <v>15</v>
      </c>
      <c r="D79" t="s">
        <v>3</v>
      </c>
      <c r="E79">
        <v>24</v>
      </c>
    </row>
    <row r="80" spans="1:6" x14ac:dyDescent="0.25">
      <c r="A80" t="s">
        <v>461</v>
      </c>
      <c r="B80" t="str">
        <f t="shared" si="0"/>
        <v>I0003M2012-Q1</v>
      </c>
      <c r="C80" t="s">
        <v>418</v>
      </c>
      <c r="D80" t="s">
        <v>415</v>
      </c>
      <c r="E80">
        <v>24</v>
      </c>
    </row>
    <row r="81" spans="1:10" x14ac:dyDescent="0.25">
      <c r="A81" t="s">
        <v>461</v>
      </c>
      <c r="B81" t="str">
        <f t="shared" si="0"/>
        <v>I0003M2012-Q2</v>
      </c>
      <c r="C81" t="s">
        <v>419</v>
      </c>
      <c r="D81" t="s">
        <v>416</v>
      </c>
      <c r="E81">
        <v>24</v>
      </c>
    </row>
    <row r="82" spans="1:10" x14ac:dyDescent="0.25">
      <c r="A82" t="s">
        <v>461</v>
      </c>
      <c r="B82" t="str">
        <f t="shared" si="0"/>
        <v>I0003M2012-Q3</v>
      </c>
      <c r="C82" t="s">
        <v>420</v>
      </c>
      <c r="D82" t="s">
        <v>417</v>
      </c>
      <c r="E82">
        <v>24</v>
      </c>
    </row>
    <row r="83" spans="1:10" x14ac:dyDescent="0.25">
      <c r="A83" t="s">
        <v>461</v>
      </c>
      <c r="B83" t="str">
        <f t="shared" si="0"/>
        <v>I0003M2012-Q4</v>
      </c>
      <c r="C83" t="s">
        <v>451</v>
      </c>
      <c r="D83" t="s">
        <v>450</v>
      </c>
      <c r="E83">
        <v>26</v>
      </c>
    </row>
    <row r="84" spans="1:10" x14ac:dyDescent="0.25">
      <c r="A84" t="s">
        <v>461</v>
      </c>
      <c r="B84" t="str">
        <f t="shared" si="0"/>
        <v>I0003M2013-Q1</v>
      </c>
      <c r="C84" t="s">
        <v>452</v>
      </c>
      <c r="D84" t="s">
        <v>439</v>
      </c>
      <c r="E84">
        <v>25</v>
      </c>
    </row>
    <row r="85" spans="1:10" x14ac:dyDescent="0.25">
      <c r="A85" t="s">
        <v>461</v>
      </c>
      <c r="B85" t="str">
        <f t="shared" si="0"/>
        <v>I0003M2013-Q2</v>
      </c>
      <c r="C85" t="s">
        <v>453</v>
      </c>
      <c r="D85" t="s">
        <v>442</v>
      </c>
      <c r="E85">
        <v>26</v>
      </c>
    </row>
    <row r="86" spans="1:10" x14ac:dyDescent="0.25">
      <c r="A86" t="s">
        <v>461</v>
      </c>
      <c r="B86" t="str">
        <f t="shared" si="0"/>
        <v>I0003M2013-Q3</v>
      </c>
      <c r="C86" t="s">
        <v>454</v>
      </c>
      <c r="D86" t="s">
        <v>445</v>
      </c>
      <c r="E86">
        <v>26</v>
      </c>
    </row>
    <row r="87" spans="1:10" x14ac:dyDescent="0.25">
      <c r="A87" t="s">
        <v>461</v>
      </c>
      <c r="B87" t="str">
        <f t="shared" ref="B87:B160" si="1">CONCATENATE(A87,"M",C87)</f>
        <v>I0003M2013-Q4</v>
      </c>
      <c r="C87" t="s">
        <v>455</v>
      </c>
      <c r="D87" t="s">
        <v>436</v>
      </c>
      <c r="E87">
        <v>27</v>
      </c>
    </row>
    <row r="88" spans="1:10" x14ac:dyDescent="0.25">
      <c r="A88" t="s">
        <v>461</v>
      </c>
      <c r="B88" t="str">
        <f t="shared" si="1"/>
        <v>I0003M2014-Q1</v>
      </c>
      <c r="C88" t="s">
        <v>456</v>
      </c>
      <c r="D88" t="s">
        <v>430</v>
      </c>
      <c r="E88">
        <v>28</v>
      </c>
    </row>
    <row r="89" spans="1:10" x14ac:dyDescent="0.25">
      <c r="A89" t="s">
        <v>461</v>
      </c>
      <c r="B89" t="str">
        <f t="shared" si="1"/>
        <v>I0003M2014-Q2</v>
      </c>
      <c r="C89" t="s">
        <v>457</v>
      </c>
      <c r="D89" t="s">
        <v>433</v>
      </c>
      <c r="E89">
        <v>29</v>
      </c>
    </row>
    <row r="90" spans="1:10" x14ac:dyDescent="0.25">
      <c r="A90" t="s">
        <v>461</v>
      </c>
      <c r="B90" t="str">
        <f t="shared" si="1"/>
        <v>I0003M2014-Q3</v>
      </c>
      <c r="C90" t="s">
        <v>458</v>
      </c>
      <c r="D90" t="s">
        <v>427</v>
      </c>
      <c r="E90">
        <v>28</v>
      </c>
    </row>
    <row r="91" spans="1:10" x14ac:dyDescent="0.25">
      <c r="A91" t="s">
        <v>461</v>
      </c>
      <c r="B91" t="str">
        <f t="shared" si="1"/>
        <v>I0003M2014-Q4</v>
      </c>
      <c r="C91" t="s">
        <v>486</v>
      </c>
      <c r="D91" t="s">
        <v>557</v>
      </c>
      <c r="E91">
        <v>30</v>
      </c>
      <c r="J91" t="s">
        <v>621</v>
      </c>
    </row>
    <row r="92" spans="1:10" x14ac:dyDescent="0.25">
      <c r="A92" t="s">
        <v>461</v>
      </c>
      <c r="B92" t="str">
        <f t="shared" si="1"/>
        <v>I0003M2015-Q1</v>
      </c>
      <c r="C92" t="s">
        <v>558</v>
      </c>
      <c r="D92" t="s">
        <v>559</v>
      </c>
      <c r="E92">
        <v>31</v>
      </c>
    </row>
    <row r="93" spans="1:10" x14ac:dyDescent="0.25">
      <c r="A93" t="s">
        <v>461</v>
      </c>
      <c r="B93" t="str">
        <f t="shared" si="1"/>
        <v>I0003M2015-Q2</v>
      </c>
      <c r="C93" t="s">
        <v>560</v>
      </c>
      <c r="D93" t="s">
        <v>561</v>
      </c>
      <c r="E93">
        <v>33</v>
      </c>
    </row>
    <row r="94" spans="1:10" x14ac:dyDescent="0.25">
      <c r="A94" t="s">
        <v>461</v>
      </c>
      <c r="B94" t="str">
        <f t="shared" si="1"/>
        <v>I0003M2015-Q3</v>
      </c>
      <c r="C94" t="s">
        <v>562</v>
      </c>
      <c r="D94" t="s">
        <v>563</v>
      </c>
      <c r="E94">
        <v>35</v>
      </c>
    </row>
    <row r="95" spans="1:10" x14ac:dyDescent="0.25">
      <c r="A95" t="s">
        <v>461</v>
      </c>
      <c r="B95" t="str">
        <f t="shared" si="1"/>
        <v>I0003M2015-Q4</v>
      </c>
      <c r="C95" t="s">
        <v>564</v>
      </c>
      <c r="D95" t="s">
        <v>565</v>
      </c>
      <c r="E95">
        <v>38</v>
      </c>
    </row>
    <row r="96" spans="1:10" x14ac:dyDescent="0.25">
      <c r="A96" t="s">
        <v>461</v>
      </c>
      <c r="B96" t="str">
        <f t="shared" si="1"/>
        <v>I0003M2016-Q1</v>
      </c>
      <c r="C96" t="s">
        <v>629</v>
      </c>
      <c r="D96" t="s">
        <v>628</v>
      </c>
      <c r="E96">
        <v>39</v>
      </c>
    </row>
    <row r="97" spans="1:6" x14ac:dyDescent="0.25">
      <c r="A97" t="s">
        <v>461</v>
      </c>
      <c r="B97" t="str">
        <f t="shared" si="1"/>
        <v>I0003M2016-Q2</v>
      </c>
      <c r="C97" t="s">
        <v>630</v>
      </c>
      <c r="D97" t="s">
        <v>631</v>
      </c>
      <c r="E97">
        <v>39</v>
      </c>
    </row>
    <row r="98" spans="1:6" x14ac:dyDescent="0.25">
      <c r="A98" t="s">
        <v>461</v>
      </c>
      <c r="B98" t="str">
        <f t="shared" si="1"/>
        <v>I0003M2016-Q3</v>
      </c>
      <c r="C98" t="s">
        <v>632</v>
      </c>
      <c r="D98" t="s">
        <v>633</v>
      </c>
      <c r="E98">
        <v>39</v>
      </c>
    </row>
    <row r="99" spans="1:6" x14ac:dyDescent="0.25">
      <c r="A99" t="s">
        <v>461</v>
      </c>
      <c r="B99" t="str">
        <f t="shared" si="1"/>
        <v>I0003M2016-Q4</v>
      </c>
      <c r="C99" t="s">
        <v>634</v>
      </c>
      <c r="D99" t="s">
        <v>635</v>
      </c>
      <c r="E99">
        <v>39</v>
      </c>
    </row>
    <row r="100" spans="1:6" x14ac:dyDescent="0.25">
      <c r="A100" t="s">
        <v>461</v>
      </c>
      <c r="B100" t="str">
        <f t="shared" si="1"/>
        <v>I0003M2017-Q1</v>
      </c>
      <c r="C100" t="s">
        <v>636</v>
      </c>
      <c r="D100" t="s">
        <v>637</v>
      </c>
      <c r="E100">
        <v>39</v>
      </c>
    </row>
    <row r="101" spans="1:6" x14ac:dyDescent="0.25">
      <c r="A101" t="s">
        <v>462</v>
      </c>
      <c r="B101" t="str">
        <f t="shared" si="1"/>
        <v>I0004M2009-01</v>
      </c>
      <c r="C101" t="s">
        <v>488</v>
      </c>
      <c r="D101" t="s">
        <v>69</v>
      </c>
      <c r="E101">
        <v>15</v>
      </c>
      <c r="F101" t="s">
        <v>184</v>
      </c>
    </row>
    <row r="102" spans="1:6" x14ac:dyDescent="0.25">
      <c r="A102" t="s">
        <v>462</v>
      </c>
      <c r="B102" t="str">
        <f t="shared" si="1"/>
        <v>I0004M2009-02</v>
      </c>
      <c r="C102" t="s">
        <v>494</v>
      </c>
      <c r="D102" t="s">
        <v>76</v>
      </c>
      <c r="E102">
        <v>14.5</v>
      </c>
    </row>
    <row r="103" spans="1:6" x14ac:dyDescent="0.25">
      <c r="A103" t="s">
        <v>462</v>
      </c>
      <c r="B103" t="str">
        <f t="shared" si="1"/>
        <v>I0004M2009-03</v>
      </c>
      <c r="C103" t="s">
        <v>500</v>
      </c>
      <c r="D103" t="s">
        <v>44</v>
      </c>
      <c r="E103">
        <v>14</v>
      </c>
    </row>
    <row r="104" spans="1:6" x14ac:dyDescent="0.25">
      <c r="A104" t="s">
        <v>462</v>
      </c>
      <c r="B104" t="str">
        <f t="shared" si="1"/>
        <v>I0004M2009-04</v>
      </c>
      <c r="C104" t="s">
        <v>506</v>
      </c>
      <c r="D104" t="s">
        <v>75</v>
      </c>
      <c r="E104">
        <v>14.3</v>
      </c>
    </row>
    <row r="105" spans="1:6" x14ac:dyDescent="0.25">
      <c r="A105" t="s">
        <v>462</v>
      </c>
      <c r="B105" t="str">
        <f t="shared" si="1"/>
        <v>I0004M2009-05</v>
      </c>
      <c r="C105" t="s">
        <v>512</v>
      </c>
      <c r="D105" t="s">
        <v>70</v>
      </c>
      <c r="E105">
        <v>13</v>
      </c>
    </row>
    <row r="106" spans="1:6" x14ac:dyDescent="0.25">
      <c r="A106" t="s">
        <v>462</v>
      </c>
      <c r="B106" t="str">
        <f t="shared" si="1"/>
        <v>I0004M2009-06</v>
      </c>
      <c r="C106" t="s">
        <v>518</v>
      </c>
      <c r="D106" t="s">
        <v>45</v>
      </c>
      <c r="E106">
        <v>12.2</v>
      </c>
    </row>
    <row r="107" spans="1:6" x14ac:dyDescent="0.25">
      <c r="A107" t="s">
        <v>462</v>
      </c>
      <c r="B107" t="str">
        <f t="shared" si="1"/>
        <v>I0004M2009-07</v>
      </c>
      <c r="C107" t="s">
        <v>524</v>
      </c>
      <c r="D107" t="s">
        <v>71</v>
      </c>
      <c r="E107">
        <v>12</v>
      </c>
    </row>
    <row r="108" spans="1:6" x14ac:dyDescent="0.25">
      <c r="A108" t="s">
        <v>462</v>
      </c>
      <c r="B108" t="str">
        <f t="shared" si="1"/>
        <v>I0004M2009-08</v>
      </c>
      <c r="C108" t="s">
        <v>530</v>
      </c>
      <c r="D108" t="s">
        <v>72</v>
      </c>
      <c r="E108">
        <v>12</v>
      </c>
    </row>
    <row r="109" spans="1:6" x14ac:dyDescent="0.25">
      <c r="A109" t="s">
        <v>462</v>
      </c>
      <c r="B109" t="str">
        <f t="shared" si="1"/>
        <v>I0004M2009-09</v>
      </c>
      <c r="C109" t="s">
        <v>536</v>
      </c>
      <c r="D109" t="s">
        <v>46</v>
      </c>
      <c r="E109">
        <v>11.5</v>
      </c>
    </row>
    <row r="110" spans="1:6" x14ac:dyDescent="0.25">
      <c r="A110" t="s">
        <v>462</v>
      </c>
      <c r="B110" t="str">
        <f t="shared" si="1"/>
        <v>I0004M2009-10</v>
      </c>
      <c r="C110" t="s">
        <v>542</v>
      </c>
      <c r="D110" t="s">
        <v>73</v>
      </c>
      <c r="E110">
        <v>11.1</v>
      </c>
    </row>
    <row r="111" spans="1:6" x14ac:dyDescent="0.25">
      <c r="A111" t="s">
        <v>462</v>
      </c>
      <c r="B111" t="str">
        <f t="shared" si="1"/>
        <v>I0004M2009-11</v>
      </c>
      <c r="C111" t="s">
        <v>547</v>
      </c>
      <c r="D111" t="s">
        <v>74</v>
      </c>
      <c r="E111">
        <v>10.5</v>
      </c>
    </row>
    <row r="112" spans="1:6" x14ac:dyDescent="0.25">
      <c r="A112" t="s">
        <v>462</v>
      </c>
      <c r="B112" t="str">
        <f t="shared" si="1"/>
        <v>I0004M2009-12</v>
      </c>
      <c r="C112" t="s">
        <v>552</v>
      </c>
      <c r="D112" t="s">
        <v>47</v>
      </c>
      <c r="E112">
        <v>10</v>
      </c>
    </row>
    <row r="113" spans="1:5" x14ac:dyDescent="0.25">
      <c r="A113" t="s">
        <v>462</v>
      </c>
      <c r="B113" t="str">
        <f t="shared" si="1"/>
        <v>I0004M2010-01</v>
      </c>
      <c r="C113" t="s">
        <v>489</v>
      </c>
      <c r="D113" t="s">
        <v>78</v>
      </c>
      <c r="E113">
        <v>9</v>
      </c>
    </row>
    <row r="114" spans="1:5" x14ac:dyDescent="0.25">
      <c r="A114" t="s">
        <v>462</v>
      </c>
      <c r="B114" t="str">
        <f t="shared" si="1"/>
        <v>I0004M2010-02</v>
      </c>
      <c r="C114" t="s">
        <v>495</v>
      </c>
      <c r="D114" t="s">
        <v>80</v>
      </c>
      <c r="E114">
        <v>7.6</v>
      </c>
    </row>
    <row r="115" spans="1:5" x14ac:dyDescent="0.25">
      <c r="A115" t="s">
        <v>462</v>
      </c>
      <c r="B115" t="str">
        <f t="shared" si="1"/>
        <v>I0004M2010-03</v>
      </c>
      <c r="C115" t="s">
        <v>501</v>
      </c>
      <c r="D115" t="s">
        <v>24</v>
      </c>
      <c r="E115">
        <v>7</v>
      </c>
    </row>
    <row r="116" spans="1:5" x14ac:dyDescent="0.25">
      <c r="A116" t="s">
        <v>462</v>
      </c>
      <c r="B116" t="str">
        <f t="shared" si="1"/>
        <v>I0004M2010-04</v>
      </c>
      <c r="C116" t="s">
        <v>507</v>
      </c>
      <c r="D116" t="s">
        <v>83</v>
      </c>
      <c r="E116">
        <v>6</v>
      </c>
    </row>
    <row r="117" spans="1:5" x14ac:dyDescent="0.25">
      <c r="A117" t="s">
        <v>462</v>
      </c>
      <c r="B117" t="str">
        <f t="shared" si="1"/>
        <v>I0004M2010-05</v>
      </c>
      <c r="C117" t="s">
        <v>513</v>
      </c>
      <c r="D117" t="s">
        <v>85</v>
      </c>
      <c r="E117">
        <v>5.5</v>
      </c>
    </row>
    <row r="118" spans="1:5" x14ac:dyDescent="0.25">
      <c r="A118" t="s">
        <v>462</v>
      </c>
      <c r="B118" t="str">
        <f t="shared" si="1"/>
        <v>I0004M2010-06</v>
      </c>
      <c r="C118" t="s">
        <v>519</v>
      </c>
      <c r="D118" t="s">
        <v>23</v>
      </c>
      <c r="E118">
        <v>5.5</v>
      </c>
    </row>
    <row r="119" spans="1:5" x14ac:dyDescent="0.25">
      <c r="A119" t="s">
        <v>462</v>
      </c>
      <c r="B119" t="str">
        <f t="shared" si="1"/>
        <v>I0004M2010-07</v>
      </c>
      <c r="C119" t="s">
        <v>525</v>
      </c>
      <c r="D119" t="s">
        <v>88</v>
      </c>
      <c r="E119">
        <v>5.3</v>
      </c>
    </row>
    <row r="120" spans="1:5" x14ac:dyDescent="0.25">
      <c r="A120" t="s">
        <v>462</v>
      </c>
      <c r="B120" t="str">
        <f t="shared" si="1"/>
        <v>I0004M2010-08</v>
      </c>
      <c r="C120" t="s">
        <v>531</v>
      </c>
      <c r="D120" t="s">
        <v>90</v>
      </c>
      <c r="E120">
        <v>5</v>
      </c>
    </row>
    <row r="121" spans="1:5" x14ac:dyDescent="0.25">
      <c r="A121" t="s">
        <v>462</v>
      </c>
      <c r="B121" t="str">
        <f t="shared" si="1"/>
        <v>I0004M2010-09</v>
      </c>
      <c r="C121" t="s">
        <v>537</v>
      </c>
      <c r="D121" t="s">
        <v>22</v>
      </c>
      <c r="E121">
        <v>4</v>
      </c>
    </row>
    <row r="122" spans="1:5" x14ac:dyDescent="0.25">
      <c r="A122" t="s">
        <v>462</v>
      </c>
      <c r="B122" t="str">
        <f t="shared" si="1"/>
        <v>I0004M2010-10</v>
      </c>
      <c r="C122" t="s">
        <v>543</v>
      </c>
      <c r="D122" t="s">
        <v>93</v>
      </c>
      <c r="E122">
        <v>4.4000000000000004</v>
      </c>
    </row>
    <row r="123" spans="1:5" x14ac:dyDescent="0.25">
      <c r="A123" t="s">
        <v>462</v>
      </c>
      <c r="B123" t="str">
        <f t="shared" si="1"/>
        <v>I0004M2010-11</v>
      </c>
      <c r="C123" t="s">
        <v>548</v>
      </c>
      <c r="D123" t="s">
        <v>95</v>
      </c>
      <c r="E123">
        <v>4.9000000000000004</v>
      </c>
    </row>
    <row r="124" spans="1:5" x14ac:dyDescent="0.25">
      <c r="A124" t="s">
        <v>462</v>
      </c>
      <c r="B124" t="str">
        <f t="shared" si="1"/>
        <v>I0004M2010-12</v>
      </c>
      <c r="C124" t="s">
        <v>553</v>
      </c>
      <c r="D124" t="s">
        <v>2</v>
      </c>
      <c r="E124">
        <v>3.5</v>
      </c>
    </row>
    <row r="125" spans="1:5" x14ac:dyDescent="0.25">
      <c r="A125" t="s">
        <v>462</v>
      </c>
      <c r="B125" t="str">
        <f t="shared" si="1"/>
        <v>I0004M2011-01</v>
      </c>
      <c r="C125" t="s">
        <v>490</v>
      </c>
      <c r="D125" t="s">
        <v>98</v>
      </c>
      <c r="E125">
        <v>3</v>
      </c>
    </row>
    <row r="126" spans="1:5" x14ac:dyDescent="0.25">
      <c r="A126" t="s">
        <v>462</v>
      </c>
      <c r="B126" t="str">
        <f t="shared" si="1"/>
        <v>I0004M2011-02</v>
      </c>
      <c r="C126" t="s">
        <v>496</v>
      </c>
      <c r="D126" t="s">
        <v>100</v>
      </c>
      <c r="E126">
        <v>2.5</v>
      </c>
    </row>
    <row r="127" spans="1:5" x14ac:dyDescent="0.25">
      <c r="A127" t="s">
        <v>462</v>
      </c>
      <c r="B127" t="str">
        <f t="shared" si="1"/>
        <v>I0004M2011-03</v>
      </c>
      <c r="C127" t="s">
        <v>502</v>
      </c>
      <c r="D127" t="s">
        <v>16</v>
      </c>
      <c r="E127">
        <v>2</v>
      </c>
    </row>
    <row r="128" spans="1:5" x14ac:dyDescent="0.25">
      <c r="A128" t="s">
        <v>462</v>
      </c>
      <c r="B128" t="str">
        <f t="shared" si="1"/>
        <v>I0004M2011-04</v>
      </c>
      <c r="C128" t="s">
        <v>508</v>
      </c>
      <c r="D128" t="s">
        <v>103</v>
      </c>
      <c r="E128">
        <v>1.7</v>
      </c>
    </row>
    <row r="129" spans="1:5" x14ac:dyDescent="0.25">
      <c r="A129" t="s">
        <v>462</v>
      </c>
      <c r="B129" t="str">
        <f t="shared" si="1"/>
        <v>I0004M2011-05</v>
      </c>
      <c r="C129" t="s">
        <v>514</v>
      </c>
      <c r="D129" t="s">
        <v>105</v>
      </c>
      <c r="E129">
        <v>1.5</v>
      </c>
    </row>
    <row r="130" spans="1:5" x14ac:dyDescent="0.25">
      <c r="A130" t="s">
        <v>462</v>
      </c>
      <c r="B130" t="str">
        <f t="shared" si="1"/>
        <v>I0004M2011-06</v>
      </c>
      <c r="C130" t="s">
        <v>520</v>
      </c>
      <c r="D130" t="s">
        <v>18</v>
      </c>
      <c r="E130">
        <v>1.2</v>
      </c>
    </row>
    <row r="131" spans="1:5" x14ac:dyDescent="0.25">
      <c r="A131" t="s">
        <v>462</v>
      </c>
      <c r="B131" t="str">
        <f t="shared" si="1"/>
        <v>I0004M2011-07</v>
      </c>
      <c r="C131" t="s">
        <v>526</v>
      </c>
      <c r="D131" t="s">
        <v>108</v>
      </c>
      <c r="E131">
        <v>1.1000000000000001</v>
      </c>
    </row>
    <row r="132" spans="1:5" x14ac:dyDescent="0.25">
      <c r="A132" t="s">
        <v>462</v>
      </c>
      <c r="B132" t="str">
        <f t="shared" si="1"/>
        <v>I0004M2011-08</v>
      </c>
      <c r="C132" t="s">
        <v>532</v>
      </c>
      <c r="D132" t="s">
        <v>110</v>
      </c>
      <c r="E132">
        <v>0.95</v>
      </c>
    </row>
    <row r="133" spans="1:5" x14ac:dyDescent="0.25">
      <c r="A133" t="s">
        <v>462</v>
      </c>
      <c r="B133" t="str">
        <f t="shared" si="1"/>
        <v>I0004M2011-09</v>
      </c>
      <c r="C133" t="s">
        <v>538</v>
      </c>
      <c r="D133" t="s">
        <v>17</v>
      </c>
      <c r="E133">
        <v>0.9</v>
      </c>
    </row>
    <row r="134" spans="1:5" x14ac:dyDescent="0.25">
      <c r="A134" t="s">
        <v>462</v>
      </c>
      <c r="B134" t="str">
        <f t="shared" si="1"/>
        <v>I0004M2011-10</v>
      </c>
      <c r="C134" t="s">
        <v>544</v>
      </c>
      <c r="D134" t="s">
        <v>113</v>
      </c>
      <c r="E134">
        <v>0.85</v>
      </c>
    </row>
    <row r="135" spans="1:5" x14ac:dyDescent="0.25">
      <c r="A135" t="s">
        <v>462</v>
      </c>
      <c r="B135" t="str">
        <f t="shared" si="1"/>
        <v>I0004M2011-11</v>
      </c>
      <c r="C135" t="s">
        <v>549</v>
      </c>
      <c r="D135" t="s">
        <v>115</v>
      </c>
      <c r="E135">
        <v>0.8</v>
      </c>
    </row>
    <row r="136" spans="1:5" x14ac:dyDescent="0.25">
      <c r="A136" t="s">
        <v>462</v>
      </c>
      <c r="B136" t="str">
        <f t="shared" si="1"/>
        <v>I0004M2011-12</v>
      </c>
      <c r="C136" t="s">
        <v>554</v>
      </c>
      <c r="D136" t="s">
        <v>3</v>
      </c>
      <c r="E136">
        <v>0.82</v>
      </c>
    </row>
    <row r="137" spans="1:5" x14ac:dyDescent="0.25">
      <c r="A137" t="s">
        <v>462</v>
      </c>
      <c r="B137" t="str">
        <f t="shared" si="1"/>
        <v>I0004M2012-01</v>
      </c>
      <c r="C137" t="s">
        <v>491</v>
      </c>
      <c r="D137" t="s">
        <v>421</v>
      </c>
      <c r="E137">
        <v>0.8</v>
      </c>
    </row>
    <row r="138" spans="1:5" x14ac:dyDescent="0.25">
      <c r="A138" t="s">
        <v>462</v>
      </c>
      <c r="B138" t="str">
        <f t="shared" si="1"/>
        <v>I0004M2012-02</v>
      </c>
      <c r="C138" t="s">
        <v>497</v>
      </c>
      <c r="D138" t="s">
        <v>422</v>
      </c>
      <c r="E138">
        <v>0.79</v>
      </c>
    </row>
    <row r="139" spans="1:5" x14ac:dyDescent="0.25">
      <c r="A139" t="s">
        <v>462</v>
      </c>
      <c r="B139" t="str">
        <f t="shared" si="1"/>
        <v>I0004M2012-03</v>
      </c>
      <c r="C139" t="s">
        <v>503</v>
      </c>
      <c r="D139" t="s">
        <v>415</v>
      </c>
      <c r="E139">
        <v>0.8</v>
      </c>
    </row>
    <row r="140" spans="1:5" x14ac:dyDescent="0.25">
      <c r="A140" t="s">
        <v>462</v>
      </c>
      <c r="B140" t="str">
        <f t="shared" si="1"/>
        <v>I0004M2012-04</v>
      </c>
      <c r="C140" t="s">
        <v>509</v>
      </c>
      <c r="D140" t="s">
        <v>423</v>
      </c>
      <c r="E140">
        <v>0.78</v>
      </c>
    </row>
    <row r="141" spans="1:5" x14ac:dyDescent="0.25">
      <c r="A141" t="s">
        <v>462</v>
      </c>
      <c r="B141" t="str">
        <f t="shared" si="1"/>
        <v>I0004M2012-05</v>
      </c>
      <c r="C141" t="s">
        <v>515</v>
      </c>
      <c r="D141" t="s">
        <v>424</v>
      </c>
      <c r="E141">
        <v>0.78</v>
      </c>
    </row>
    <row r="142" spans="1:5" x14ac:dyDescent="0.25">
      <c r="A142" t="s">
        <v>462</v>
      </c>
      <c r="B142" t="str">
        <f t="shared" si="1"/>
        <v>I0004M2012-06</v>
      </c>
      <c r="C142" t="s">
        <v>521</v>
      </c>
      <c r="D142" t="s">
        <v>416</v>
      </c>
      <c r="E142">
        <v>0.76</v>
      </c>
    </row>
    <row r="143" spans="1:5" x14ac:dyDescent="0.25">
      <c r="A143" t="s">
        <v>462</v>
      </c>
      <c r="B143" t="str">
        <f t="shared" si="1"/>
        <v>I0004M2012-07</v>
      </c>
      <c r="C143" t="s">
        <v>527</v>
      </c>
      <c r="D143" t="s">
        <v>425</v>
      </c>
      <c r="E143">
        <v>0.76</v>
      </c>
    </row>
    <row r="144" spans="1:5" x14ac:dyDescent="0.25">
      <c r="A144" t="s">
        <v>462</v>
      </c>
      <c r="B144" t="str">
        <f t="shared" si="1"/>
        <v>I0004M2012-08</v>
      </c>
      <c r="C144" t="s">
        <v>533</v>
      </c>
      <c r="D144" t="s">
        <v>426</v>
      </c>
      <c r="E144">
        <v>0.75</v>
      </c>
    </row>
    <row r="145" spans="1:5" x14ac:dyDescent="0.25">
      <c r="A145" t="s">
        <v>462</v>
      </c>
      <c r="B145" t="str">
        <f t="shared" si="1"/>
        <v>I0004M2012-09</v>
      </c>
      <c r="C145" t="s">
        <v>539</v>
      </c>
      <c r="D145" t="s">
        <v>417</v>
      </c>
      <c r="E145">
        <v>0.76</v>
      </c>
    </row>
    <row r="146" spans="1:5" x14ac:dyDescent="0.25">
      <c r="A146" t="s">
        <v>462</v>
      </c>
      <c r="B146" t="str">
        <f t="shared" si="1"/>
        <v>I0004M2012-10</v>
      </c>
      <c r="C146" t="s">
        <v>545</v>
      </c>
      <c r="D146" t="s">
        <v>448</v>
      </c>
      <c r="E146">
        <v>0.75</v>
      </c>
    </row>
    <row r="147" spans="1:5" x14ac:dyDescent="0.25">
      <c r="A147" t="s">
        <v>462</v>
      </c>
      <c r="B147" t="str">
        <f t="shared" si="1"/>
        <v>I0004M2012-11</v>
      </c>
      <c r="C147" t="s">
        <v>550</v>
      </c>
      <c r="D147" t="s">
        <v>449</v>
      </c>
      <c r="E147">
        <v>0.75</v>
      </c>
    </row>
    <row r="148" spans="1:5" x14ac:dyDescent="0.25">
      <c r="A148" t="s">
        <v>462</v>
      </c>
      <c r="B148" t="str">
        <f t="shared" si="1"/>
        <v>I0004M2012-12</v>
      </c>
      <c r="C148" t="s">
        <v>555</v>
      </c>
      <c r="D148" t="s">
        <v>450</v>
      </c>
      <c r="E148">
        <v>0.74</v>
      </c>
    </row>
    <row r="149" spans="1:5" x14ac:dyDescent="0.25">
      <c r="A149" t="s">
        <v>462</v>
      </c>
      <c r="B149" t="str">
        <f t="shared" si="1"/>
        <v>I0004M2013-01</v>
      </c>
      <c r="C149" t="s">
        <v>492</v>
      </c>
      <c r="D149" t="s">
        <v>437</v>
      </c>
      <c r="E149">
        <v>0.74</v>
      </c>
    </row>
    <row r="150" spans="1:5" x14ac:dyDescent="0.25">
      <c r="A150" t="s">
        <v>462</v>
      </c>
      <c r="B150" t="str">
        <f t="shared" si="1"/>
        <v>I0004M2013-02</v>
      </c>
      <c r="C150" t="s">
        <v>498</v>
      </c>
      <c r="D150" t="s">
        <v>438</v>
      </c>
      <c r="E150">
        <v>0.05</v>
      </c>
    </row>
    <row r="151" spans="1:5" x14ac:dyDescent="0.25">
      <c r="A151" t="s">
        <v>462</v>
      </c>
      <c r="B151" t="str">
        <f t="shared" si="1"/>
        <v>I0004M2013-03</v>
      </c>
      <c r="C151" t="s">
        <v>504</v>
      </c>
      <c r="D151" t="s">
        <v>439</v>
      </c>
      <c r="E151">
        <v>0.74</v>
      </c>
    </row>
    <row r="152" spans="1:5" x14ac:dyDescent="0.25">
      <c r="A152" t="s">
        <v>462</v>
      </c>
      <c r="B152" t="str">
        <f t="shared" si="1"/>
        <v>I0004M2013-04</v>
      </c>
      <c r="C152" t="s">
        <v>510</v>
      </c>
      <c r="D152" t="s">
        <v>440</v>
      </c>
      <c r="E152">
        <v>0.76</v>
      </c>
    </row>
    <row r="153" spans="1:5" x14ac:dyDescent="0.25">
      <c r="A153" t="s">
        <v>462</v>
      </c>
      <c r="B153" t="str">
        <f t="shared" si="1"/>
        <v>I0004M2013-05</v>
      </c>
      <c r="C153" t="s">
        <v>516</v>
      </c>
      <c r="D153" t="s">
        <v>441</v>
      </c>
      <c r="E153">
        <v>0.7</v>
      </c>
    </row>
    <row r="154" spans="1:5" x14ac:dyDescent="0.25">
      <c r="A154" t="s">
        <v>462</v>
      </c>
      <c r="B154" t="str">
        <f t="shared" si="1"/>
        <v>I0004M2013-06</v>
      </c>
      <c r="C154" t="s">
        <v>522</v>
      </c>
      <c r="D154" t="s">
        <v>442</v>
      </c>
      <c r="E154">
        <v>0.7</v>
      </c>
    </row>
    <row r="155" spans="1:5" x14ac:dyDescent="0.25">
      <c r="A155" t="s">
        <v>462</v>
      </c>
      <c r="B155" t="str">
        <f t="shared" si="1"/>
        <v>I0004M2013-07</v>
      </c>
      <c r="C155" t="s">
        <v>528</v>
      </c>
      <c r="D155" t="s">
        <v>443</v>
      </c>
      <c r="E155">
        <v>0.72</v>
      </c>
    </row>
    <row r="156" spans="1:5" x14ac:dyDescent="0.25">
      <c r="A156" t="s">
        <v>462</v>
      </c>
      <c r="B156" t="str">
        <f t="shared" si="1"/>
        <v>I0004M2013-08</v>
      </c>
      <c r="C156" t="s">
        <v>534</v>
      </c>
      <c r="D156" t="s">
        <v>444</v>
      </c>
      <c r="E156">
        <v>0.7</v>
      </c>
    </row>
    <row r="157" spans="1:5" x14ac:dyDescent="0.25">
      <c r="A157" t="s">
        <v>462</v>
      </c>
      <c r="B157" t="str">
        <f t="shared" si="1"/>
        <v>I0004M2013-09</v>
      </c>
      <c r="C157" t="s">
        <v>540</v>
      </c>
      <c r="D157" t="s">
        <v>445</v>
      </c>
      <c r="E157">
        <v>0.72</v>
      </c>
    </row>
    <row r="158" spans="1:5" x14ac:dyDescent="0.25">
      <c r="A158" t="s">
        <v>462</v>
      </c>
      <c r="B158" t="str">
        <f t="shared" si="1"/>
        <v>I0004M2013-10</v>
      </c>
      <c r="C158" t="s">
        <v>546</v>
      </c>
      <c r="D158" t="s">
        <v>446</v>
      </c>
      <c r="E158">
        <v>0.7</v>
      </c>
    </row>
    <row r="159" spans="1:5" x14ac:dyDescent="0.25">
      <c r="A159" t="s">
        <v>462</v>
      </c>
      <c r="B159" t="str">
        <f t="shared" si="1"/>
        <v>I0004M2013-11</v>
      </c>
      <c r="C159" t="s">
        <v>551</v>
      </c>
      <c r="D159" t="s">
        <v>447</v>
      </c>
      <c r="E159">
        <v>0.68</v>
      </c>
    </row>
    <row r="160" spans="1:5" x14ac:dyDescent="0.25">
      <c r="A160" t="s">
        <v>462</v>
      </c>
      <c r="B160" t="str">
        <f t="shared" si="1"/>
        <v>I0004M2013-12</v>
      </c>
      <c r="C160" t="s">
        <v>556</v>
      </c>
      <c r="D160" t="s">
        <v>436</v>
      </c>
      <c r="E160">
        <v>0.7</v>
      </c>
    </row>
    <row r="161" spans="1:5" x14ac:dyDescent="0.25">
      <c r="A161" t="s">
        <v>462</v>
      </c>
      <c r="B161" t="str">
        <f t="shared" ref="B161:B274" si="2">CONCATENATE(A161,"M",C161)</f>
        <v>I0004M2014-01</v>
      </c>
      <c r="C161" t="s">
        <v>493</v>
      </c>
      <c r="D161" t="s">
        <v>428</v>
      </c>
      <c r="E161">
        <v>0.69</v>
      </c>
    </row>
    <row r="162" spans="1:5" x14ac:dyDescent="0.25">
      <c r="A162" t="s">
        <v>462</v>
      </c>
      <c r="B162" t="str">
        <f t="shared" si="2"/>
        <v>I0004M2014-02</v>
      </c>
      <c r="C162" t="s">
        <v>499</v>
      </c>
      <c r="D162" t="s">
        <v>429</v>
      </c>
      <c r="E162">
        <v>0.71</v>
      </c>
    </row>
    <row r="163" spans="1:5" x14ac:dyDescent="0.25">
      <c r="A163" t="s">
        <v>462</v>
      </c>
      <c r="B163" t="str">
        <f t="shared" si="2"/>
        <v>I0004M2014-03</v>
      </c>
      <c r="C163" t="s">
        <v>505</v>
      </c>
      <c r="D163" t="s">
        <v>430</v>
      </c>
      <c r="E163">
        <v>0.72</v>
      </c>
    </row>
    <row r="164" spans="1:5" x14ac:dyDescent="0.25">
      <c r="A164" t="s">
        <v>462</v>
      </c>
      <c r="B164" t="str">
        <f t="shared" si="2"/>
        <v>I0004M2014-04</v>
      </c>
      <c r="C164" t="s">
        <v>511</v>
      </c>
      <c r="D164" t="s">
        <v>431</v>
      </c>
      <c r="E164">
        <v>0.65</v>
      </c>
    </row>
    <row r="165" spans="1:5" x14ac:dyDescent="0.25">
      <c r="A165" t="s">
        <v>462</v>
      </c>
      <c r="B165" t="str">
        <f t="shared" si="2"/>
        <v>I0004M2014-05</v>
      </c>
      <c r="C165" t="s">
        <v>517</v>
      </c>
      <c r="D165" t="s">
        <v>432</v>
      </c>
      <c r="E165">
        <v>0.66</v>
      </c>
    </row>
    <row r="166" spans="1:5" x14ac:dyDescent="0.25">
      <c r="A166" t="s">
        <v>462</v>
      </c>
      <c r="B166" t="str">
        <f t="shared" si="2"/>
        <v>I0004M2014-06</v>
      </c>
      <c r="C166" t="s">
        <v>523</v>
      </c>
      <c r="D166" t="s">
        <v>433</v>
      </c>
      <c r="E166">
        <v>0.7</v>
      </c>
    </row>
    <row r="167" spans="1:5" x14ac:dyDescent="0.25">
      <c r="A167" t="s">
        <v>462</v>
      </c>
      <c r="B167" t="str">
        <f t="shared" si="2"/>
        <v>I0004M2014-07</v>
      </c>
      <c r="C167" t="s">
        <v>529</v>
      </c>
      <c r="D167" t="s">
        <v>434</v>
      </c>
      <c r="E167">
        <v>0.65</v>
      </c>
    </row>
    <row r="168" spans="1:5" x14ac:dyDescent="0.25">
      <c r="A168" t="s">
        <v>462</v>
      </c>
      <c r="B168" t="str">
        <f t="shared" si="2"/>
        <v>I0004M2014-08</v>
      </c>
      <c r="C168" t="s">
        <v>535</v>
      </c>
      <c r="D168" t="s">
        <v>435</v>
      </c>
      <c r="E168">
        <v>0.63</v>
      </c>
    </row>
    <row r="169" spans="1:5" x14ac:dyDescent="0.25">
      <c r="A169" t="s">
        <v>462</v>
      </c>
      <c r="B169" t="str">
        <f t="shared" si="2"/>
        <v>I0004M2014-09</v>
      </c>
      <c r="C169" t="s">
        <v>541</v>
      </c>
      <c r="D169" t="s">
        <v>427</v>
      </c>
      <c r="E169">
        <v>0.63</v>
      </c>
    </row>
    <row r="170" spans="1:5" x14ac:dyDescent="0.25">
      <c r="A170" t="s">
        <v>462</v>
      </c>
      <c r="B170" t="str">
        <f t="shared" si="2"/>
        <v>I0004M2014-10</v>
      </c>
      <c r="C170" t="s">
        <v>566</v>
      </c>
      <c r="D170" t="s">
        <v>569</v>
      </c>
      <c r="E170" s="3">
        <v>0.62</v>
      </c>
    </row>
    <row r="171" spans="1:5" x14ac:dyDescent="0.25">
      <c r="A171" t="s">
        <v>462</v>
      </c>
      <c r="B171" t="str">
        <f t="shared" si="2"/>
        <v>I0004M2014-11</v>
      </c>
      <c r="C171" t="s">
        <v>567</v>
      </c>
      <c r="D171" t="s">
        <v>570</v>
      </c>
      <c r="E171" s="3">
        <v>0.61</v>
      </c>
    </row>
    <row r="172" spans="1:5" x14ac:dyDescent="0.25">
      <c r="A172" t="s">
        <v>462</v>
      </c>
      <c r="B172" t="str">
        <f t="shared" si="2"/>
        <v>I0004M2014-12</v>
      </c>
      <c r="C172" t="s">
        <v>568</v>
      </c>
      <c r="D172" t="s">
        <v>557</v>
      </c>
      <c r="E172" s="3">
        <v>0.62</v>
      </c>
    </row>
    <row r="173" spans="1:5" x14ac:dyDescent="0.25">
      <c r="A173" t="s">
        <v>462</v>
      </c>
      <c r="B173" t="str">
        <f t="shared" si="2"/>
        <v>I0004M2015-01</v>
      </c>
      <c r="C173" t="s">
        <v>571</v>
      </c>
      <c r="D173" t="s">
        <v>572</v>
      </c>
      <c r="E173">
        <v>0.61</v>
      </c>
    </row>
    <row r="174" spans="1:5" x14ac:dyDescent="0.25">
      <c r="A174" t="s">
        <v>462</v>
      </c>
      <c r="B174" t="str">
        <f t="shared" si="2"/>
        <v>I0004M2015-02</v>
      </c>
      <c r="C174" t="s">
        <v>573</v>
      </c>
      <c r="D174" t="s">
        <v>574</v>
      </c>
      <c r="E174">
        <v>0.6</v>
      </c>
    </row>
    <row r="175" spans="1:5" x14ac:dyDescent="0.25">
      <c r="A175" t="s">
        <v>462</v>
      </c>
      <c r="B175" t="str">
        <f t="shared" si="2"/>
        <v>I0004M2015-03</v>
      </c>
      <c r="C175" t="s">
        <v>575</v>
      </c>
      <c r="D175" t="s">
        <v>559</v>
      </c>
      <c r="E175">
        <v>0.61</v>
      </c>
    </row>
    <row r="176" spans="1:5" x14ac:dyDescent="0.25">
      <c r="A176" t="s">
        <v>462</v>
      </c>
      <c r="B176" t="str">
        <f t="shared" si="2"/>
        <v>I0004M2015-04</v>
      </c>
      <c r="C176" t="s">
        <v>576</v>
      </c>
      <c r="D176" t="s">
        <v>577</v>
      </c>
      <c r="E176">
        <v>0.6</v>
      </c>
    </row>
    <row r="177" spans="1:5" x14ac:dyDescent="0.25">
      <c r="A177" t="s">
        <v>462</v>
      </c>
      <c r="B177" t="str">
        <f t="shared" si="2"/>
        <v>I0004M2015-05</v>
      </c>
      <c r="C177" t="s">
        <v>578</v>
      </c>
      <c r="D177" t="s">
        <v>579</v>
      </c>
      <c r="E177">
        <v>0.6</v>
      </c>
    </row>
    <row r="178" spans="1:5" x14ac:dyDescent="0.25">
      <c r="A178" t="s">
        <v>462</v>
      </c>
      <c r="B178" t="str">
        <f t="shared" si="2"/>
        <v>I0004M2015-06</v>
      </c>
      <c r="C178" t="s">
        <v>580</v>
      </c>
      <c r="D178" t="s">
        <v>561</v>
      </c>
      <c r="E178">
        <v>0.54</v>
      </c>
    </row>
    <row r="179" spans="1:5" x14ac:dyDescent="0.25">
      <c r="A179" t="s">
        <v>462</v>
      </c>
      <c r="B179" t="str">
        <f t="shared" si="2"/>
        <v>I0004M2015-07</v>
      </c>
      <c r="C179" t="s">
        <v>581</v>
      </c>
      <c r="D179" t="s">
        <v>582</v>
      </c>
      <c r="E179">
        <v>0.6</v>
      </c>
    </row>
    <row r="180" spans="1:5" x14ac:dyDescent="0.25">
      <c r="A180" t="s">
        <v>462</v>
      </c>
      <c r="B180" t="str">
        <f t="shared" si="2"/>
        <v>I0004M2015-08</v>
      </c>
      <c r="C180" t="s">
        <v>583</v>
      </c>
      <c r="D180" t="s">
        <v>584</v>
      </c>
      <c r="E180">
        <v>0.55000000000000004</v>
      </c>
    </row>
    <row r="181" spans="1:5" x14ac:dyDescent="0.25">
      <c r="A181" t="s">
        <v>462</v>
      </c>
      <c r="B181" t="str">
        <f t="shared" si="2"/>
        <v>I0004M2015-09</v>
      </c>
      <c r="C181" t="s">
        <v>585</v>
      </c>
      <c r="D181" t="s">
        <v>586</v>
      </c>
      <c r="E181">
        <v>0.6</v>
      </c>
    </row>
    <row r="182" spans="1:5" x14ac:dyDescent="0.25">
      <c r="A182" t="s">
        <v>462</v>
      </c>
      <c r="B182" t="str">
        <f t="shared" si="2"/>
        <v>I0004M2015-10</v>
      </c>
      <c r="C182" t="s">
        <v>587</v>
      </c>
      <c r="D182" t="s">
        <v>563</v>
      </c>
      <c r="E182">
        <v>0.6</v>
      </c>
    </row>
    <row r="183" spans="1:5" x14ac:dyDescent="0.25">
      <c r="A183" t="s">
        <v>462</v>
      </c>
      <c r="B183" t="str">
        <f t="shared" si="2"/>
        <v>I0004M2015-11</v>
      </c>
      <c r="C183" t="s">
        <v>588</v>
      </c>
      <c r="D183" t="s">
        <v>589</v>
      </c>
      <c r="E183">
        <v>0.52</v>
      </c>
    </row>
    <row r="184" spans="1:5" x14ac:dyDescent="0.25">
      <c r="A184" t="s">
        <v>462</v>
      </c>
      <c r="B184" t="str">
        <f t="shared" si="2"/>
        <v>I0004M2015-12</v>
      </c>
      <c r="C184" t="s">
        <v>590</v>
      </c>
      <c r="D184" t="s">
        <v>565</v>
      </c>
      <c r="E184">
        <v>0.67</v>
      </c>
    </row>
    <row r="185" spans="1:5" x14ac:dyDescent="0.25">
      <c r="A185" t="s">
        <v>462</v>
      </c>
      <c r="B185" t="str">
        <f t="shared" si="2"/>
        <v>I0004M2016-01</v>
      </c>
      <c r="C185" t="s">
        <v>622</v>
      </c>
      <c r="D185" t="s">
        <v>623</v>
      </c>
      <c r="E185" s="3">
        <v>0.7</v>
      </c>
    </row>
    <row r="186" spans="1:5" x14ac:dyDescent="0.25">
      <c r="A186" t="s">
        <v>462</v>
      </c>
      <c r="B186" t="str">
        <f t="shared" si="2"/>
        <v>I0004M2016-02</v>
      </c>
      <c r="C186" t="s">
        <v>624</v>
      </c>
      <c r="D186" t="s">
        <v>625</v>
      </c>
      <c r="E186" s="3">
        <v>0.71</v>
      </c>
    </row>
    <row r="187" spans="1:5" x14ac:dyDescent="0.25">
      <c r="A187" t="s">
        <v>462</v>
      </c>
      <c r="B187" t="str">
        <f t="shared" si="2"/>
        <v>I0004M2016-03</v>
      </c>
      <c r="C187" t="s">
        <v>626</v>
      </c>
      <c r="D187" t="s">
        <v>628</v>
      </c>
      <c r="E187" s="3">
        <v>0.75</v>
      </c>
    </row>
    <row r="188" spans="1:5" x14ac:dyDescent="0.25">
      <c r="A188" t="s">
        <v>462</v>
      </c>
      <c r="B188" t="str">
        <f t="shared" si="2"/>
        <v>I0004M2016-04</v>
      </c>
      <c r="C188" t="s">
        <v>638</v>
      </c>
      <c r="D188" t="s">
        <v>639</v>
      </c>
      <c r="E188" s="3">
        <v>0.76</v>
      </c>
    </row>
    <row r="189" spans="1:5" x14ac:dyDescent="0.25">
      <c r="A189" t="s">
        <v>462</v>
      </c>
      <c r="B189" t="str">
        <f t="shared" si="2"/>
        <v>I0004M2016-05</v>
      </c>
      <c r="C189" t="s">
        <v>640</v>
      </c>
      <c r="D189" t="s">
        <v>641</v>
      </c>
      <c r="E189" s="3">
        <v>0.8</v>
      </c>
    </row>
    <row r="190" spans="1:5" x14ac:dyDescent="0.25">
      <c r="A190" t="s">
        <v>462</v>
      </c>
      <c r="B190" t="str">
        <f t="shared" si="2"/>
        <v>I0004M2016-06</v>
      </c>
      <c r="C190" t="s">
        <v>642</v>
      </c>
      <c r="D190" t="s">
        <v>631</v>
      </c>
      <c r="E190" s="3">
        <v>0.76</v>
      </c>
    </row>
    <row r="191" spans="1:5" x14ac:dyDescent="0.25">
      <c r="A191" t="s">
        <v>462</v>
      </c>
      <c r="B191" t="str">
        <f t="shared" si="2"/>
        <v>I0004M2016-07</v>
      </c>
      <c r="C191" t="s">
        <v>643</v>
      </c>
      <c r="D191" t="s">
        <v>644</v>
      </c>
      <c r="E191" s="3">
        <v>0.75</v>
      </c>
    </row>
    <row r="192" spans="1:5" x14ac:dyDescent="0.25">
      <c r="A192" t="s">
        <v>462</v>
      </c>
      <c r="B192" t="str">
        <f t="shared" si="2"/>
        <v>I0004M2016-08</v>
      </c>
      <c r="C192" t="s">
        <v>645</v>
      </c>
      <c r="D192" t="s">
        <v>646</v>
      </c>
      <c r="E192" s="3">
        <v>0.7</v>
      </c>
    </row>
    <row r="193" spans="1:6" x14ac:dyDescent="0.25">
      <c r="A193" t="s">
        <v>462</v>
      </c>
      <c r="B193" t="str">
        <f t="shared" si="2"/>
        <v>I0004M2016-09</v>
      </c>
      <c r="C193" t="s">
        <v>647</v>
      </c>
      <c r="D193" t="s">
        <v>648</v>
      </c>
      <c r="E193" s="3">
        <v>0.72</v>
      </c>
    </row>
    <row r="194" spans="1:6" x14ac:dyDescent="0.25">
      <c r="A194" t="s">
        <v>462</v>
      </c>
      <c r="B194" t="str">
        <f t="shared" si="2"/>
        <v>I0004M2016-10</v>
      </c>
      <c r="C194" t="s">
        <v>649</v>
      </c>
      <c r="D194" t="s">
        <v>633</v>
      </c>
      <c r="E194" s="3">
        <v>0.75</v>
      </c>
    </row>
    <row r="195" spans="1:6" x14ac:dyDescent="0.25">
      <c r="A195" t="s">
        <v>462</v>
      </c>
      <c r="B195" t="str">
        <f t="shared" si="2"/>
        <v>I0004M2016-11</v>
      </c>
      <c r="C195" t="s">
        <v>650</v>
      </c>
      <c r="D195" t="s">
        <v>651</v>
      </c>
      <c r="E195" s="3">
        <v>0.77</v>
      </c>
    </row>
    <row r="196" spans="1:6" x14ac:dyDescent="0.25">
      <c r="A196" t="s">
        <v>462</v>
      </c>
      <c r="B196" t="str">
        <f t="shared" si="2"/>
        <v>I0004M2016-12</v>
      </c>
      <c r="C196" t="s">
        <v>652</v>
      </c>
      <c r="D196" t="s">
        <v>635</v>
      </c>
      <c r="E196" s="3">
        <v>0.79</v>
      </c>
    </row>
    <row r="197" spans="1:6" x14ac:dyDescent="0.25">
      <c r="A197" t="s">
        <v>462</v>
      </c>
      <c r="B197" t="str">
        <f t="shared" si="2"/>
        <v>I0004M2017-01</v>
      </c>
      <c r="C197" t="s">
        <v>653</v>
      </c>
      <c r="D197" t="s">
        <v>654</v>
      </c>
      <c r="E197" s="3">
        <v>0.8</v>
      </c>
    </row>
    <row r="198" spans="1:6" x14ac:dyDescent="0.25">
      <c r="A198" t="s">
        <v>462</v>
      </c>
      <c r="B198" t="str">
        <f t="shared" si="2"/>
        <v>I0004M2017-02</v>
      </c>
      <c r="C198" t="s">
        <v>655</v>
      </c>
      <c r="D198" t="s">
        <v>656</v>
      </c>
      <c r="E198" s="3">
        <v>0.83</v>
      </c>
    </row>
    <row r="199" spans="1:6" x14ac:dyDescent="0.25">
      <c r="A199" t="s">
        <v>462</v>
      </c>
      <c r="B199" t="str">
        <f t="shared" si="2"/>
        <v>I0004M2017-03</v>
      </c>
      <c r="C199" t="s">
        <v>657</v>
      </c>
      <c r="D199" t="s">
        <v>637</v>
      </c>
      <c r="E199" s="3">
        <v>0.84</v>
      </c>
    </row>
    <row r="200" spans="1:6" x14ac:dyDescent="0.25">
      <c r="A200" t="s">
        <v>463</v>
      </c>
      <c r="B200" t="str">
        <f t="shared" si="2"/>
        <v>I0005M2009-Q1</v>
      </c>
      <c r="C200" t="s">
        <v>41</v>
      </c>
      <c r="D200" t="s">
        <v>44</v>
      </c>
      <c r="E200">
        <v>17595900</v>
      </c>
      <c r="F200" t="s">
        <v>185</v>
      </c>
    </row>
    <row r="201" spans="1:6" x14ac:dyDescent="0.25">
      <c r="A201" t="s">
        <v>463</v>
      </c>
      <c r="B201" t="str">
        <f t="shared" si="2"/>
        <v>I0005M2009-Q2</v>
      </c>
      <c r="C201" t="s">
        <v>42</v>
      </c>
      <c r="D201" t="s">
        <v>45</v>
      </c>
      <c r="E201">
        <v>17955000</v>
      </c>
    </row>
    <row r="202" spans="1:6" x14ac:dyDescent="0.25">
      <c r="A202" t="s">
        <v>463</v>
      </c>
      <c r="B202" t="str">
        <f t="shared" si="2"/>
        <v>I0005M2009-Q3</v>
      </c>
      <c r="C202" t="s">
        <v>43</v>
      </c>
      <c r="D202" t="s">
        <v>46</v>
      </c>
      <c r="E202">
        <v>18900000</v>
      </c>
    </row>
    <row r="203" spans="1:6" x14ac:dyDescent="0.25">
      <c r="A203" t="s">
        <v>463</v>
      </c>
      <c r="B203" t="str">
        <f t="shared" si="2"/>
        <v>I0005M2009-Q4</v>
      </c>
      <c r="C203" t="s">
        <v>40</v>
      </c>
      <c r="D203" t="s">
        <v>47</v>
      </c>
      <c r="E203">
        <v>21000000</v>
      </c>
    </row>
    <row r="204" spans="1:6" x14ac:dyDescent="0.25">
      <c r="A204" t="s">
        <v>463</v>
      </c>
      <c r="B204" t="str">
        <f t="shared" si="2"/>
        <v>I0005M2010-Q1</v>
      </c>
      <c r="C204" t="s">
        <v>19</v>
      </c>
      <c r="D204" t="s">
        <v>24</v>
      </c>
      <c r="E204">
        <v>23400000</v>
      </c>
    </row>
    <row r="205" spans="1:6" x14ac:dyDescent="0.25">
      <c r="A205" t="s">
        <v>463</v>
      </c>
      <c r="B205" t="str">
        <f t="shared" si="2"/>
        <v>I0005M2010-Q2</v>
      </c>
      <c r="C205" t="s">
        <v>20</v>
      </c>
      <c r="D205" t="s">
        <v>23</v>
      </c>
      <c r="E205">
        <v>23868000</v>
      </c>
    </row>
    <row r="206" spans="1:6" x14ac:dyDescent="0.25">
      <c r="A206" t="s">
        <v>463</v>
      </c>
      <c r="B206" t="str">
        <f t="shared" si="2"/>
        <v>I0005M2010-Q3</v>
      </c>
      <c r="C206" t="s">
        <v>21</v>
      </c>
      <c r="D206" t="s">
        <v>22</v>
      </c>
      <c r="E206">
        <v>24570000</v>
      </c>
    </row>
    <row r="207" spans="1:6" x14ac:dyDescent="0.25">
      <c r="A207" t="s">
        <v>463</v>
      </c>
      <c r="B207" t="str">
        <f t="shared" si="2"/>
        <v>I0005M2010-Q4</v>
      </c>
      <c r="C207" t="s">
        <v>11</v>
      </c>
      <c r="D207" t="s">
        <v>2</v>
      </c>
      <c r="E207">
        <v>26000000</v>
      </c>
    </row>
    <row r="208" spans="1:6" x14ac:dyDescent="0.25">
      <c r="A208" t="s">
        <v>463</v>
      </c>
      <c r="B208" t="str">
        <f t="shared" si="2"/>
        <v>I0005M2011-Q1</v>
      </c>
      <c r="C208" t="s">
        <v>12</v>
      </c>
      <c r="D208" t="s">
        <v>16</v>
      </c>
      <c r="E208">
        <v>26550000</v>
      </c>
    </row>
    <row r="209" spans="1:5" x14ac:dyDescent="0.25">
      <c r="A209" t="s">
        <v>463</v>
      </c>
      <c r="B209" t="str">
        <f t="shared" si="2"/>
        <v>I0005M2011-Q2</v>
      </c>
      <c r="C209" t="s">
        <v>13</v>
      </c>
      <c r="D209" t="s">
        <v>18</v>
      </c>
      <c r="E209">
        <v>27081000</v>
      </c>
    </row>
    <row r="210" spans="1:5" x14ac:dyDescent="0.25">
      <c r="A210" t="s">
        <v>463</v>
      </c>
      <c r="B210" t="str">
        <f t="shared" si="2"/>
        <v>I0005M2011-Q3</v>
      </c>
      <c r="C210" t="s">
        <v>14</v>
      </c>
      <c r="D210" t="s">
        <v>17</v>
      </c>
      <c r="E210">
        <v>27877500</v>
      </c>
    </row>
    <row r="211" spans="1:5" x14ac:dyDescent="0.25">
      <c r="A211" t="s">
        <v>463</v>
      </c>
      <c r="B211" t="str">
        <f t="shared" si="2"/>
        <v>I0005M2011-Q4</v>
      </c>
      <c r="C211" t="s">
        <v>15</v>
      </c>
      <c r="D211" t="s">
        <v>3</v>
      </c>
      <c r="E211">
        <v>29500000</v>
      </c>
    </row>
    <row r="212" spans="1:5" x14ac:dyDescent="0.25">
      <c r="A212" t="s">
        <v>463</v>
      </c>
      <c r="B212" t="str">
        <f t="shared" si="2"/>
        <v>I0005M2012-Q1</v>
      </c>
      <c r="C212" t="s">
        <v>418</v>
      </c>
      <c r="D212" t="s">
        <v>415</v>
      </c>
      <c r="E212">
        <v>27900000</v>
      </c>
    </row>
    <row r="213" spans="1:5" x14ac:dyDescent="0.25">
      <c r="A213" t="s">
        <v>463</v>
      </c>
      <c r="B213" t="str">
        <f t="shared" si="2"/>
        <v>I0005M2012-Q2</v>
      </c>
      <c r="C213" t="s">
        <v>419</v>
      </c>
      <c r="D213" t="s">
        <v>416</v>
      </c>
      <c r="E213">
        <v>28458000</v>
      </c>
    </row>
    <row r="214" spans="1:5" x14ac:dyDescent="0.25">
      <c r="A214" t="s">
        <v>463</v>
      </c>
      <c r="B214" t="str">
        <f t="shared" si="2"/>
        <v>I0005M2012-Q3</v>
      </c>
      <c r="C214" t="s">
        <v>420</v>
      </c>
      <c r="D214" t="s">
        <v>417</v>
      </c>
      <c r="E214">
        <v>29295000</v>
      </c>
    </row>
    <row r="215" spans="1:5" x14ac:dyDescent="0.25">
      <c r="A215" t="s">
        <v>463</v>
      </c>
      <c r="B215" t="str">
        <f t="shared" si="2"/>
        <v>I0005M2012-Q4</v>
      </c>
      <c r="C215" t="s">
        <v>451</v>
      </c>
      <c r="D215" t="s">
        <v>450</v>
      </c>
      <c r="E215">
        <v>31000000</v>
      </c>
    </row>
    <row r="216" spans="1:5" x14ac:dyDescent="0.25">
      <c r="A216" t="s">
        <v>463</v>
      </c>
      <c r="B216" t="str">
        <f t="shared" si="2"/>
        <v>I0005M2013-Q1</v>
      </c>
      <c r="C216" t="s">
        <v>452</v>
      </c>
      <c r="D216" t="s">
        <v>439</v>
      </c>
      <c r="E216">
        <v>29250000</v>
      </c>
    </row>
    <row r="217" spans="1:5" x14ac:dyDescent="0.25">
      <c r="A217" t="s">
        <v>463</v>
      </c>
      <c r="B217" t="str">
        <f t="shared" si="2"/>
        <v>I0005M2013-Q2</v>
      </c>
      <c r="C217" t="s">
        <v>453</v>
      </c>
      <c r="D217" t="s">
        <v>442</v>
      </c>
      <c r="E217">
        <v>29835000</v>
      </c>
    </row>
    <row r="218" spans="1:5" x14ac:dyDescent="0.25">
      <c r="A218" t="s">
        <v>463</v>
      </c>
      <c r="B218" t="str">
        <f t="shared" si="2"/>
        <v>I0005M2013-Q3</v>
      </c>
      <c r="C218" t="s">
        <v>454</v>
      </c>
      <c r="D218" t="s">
        <v>445</v>
      </c>
      <c r="E218">
        <v>30712500</v>
      </c>
    </row>
    <row r="219" spans="1:5" x14ac:dyDescent="0.25">
      <c r="A219" t="s">
        <v>463</v>
      </c>
      <c r="B219" t="str">
        <f t="shared" si="2"/>
        <v>I0005M2013-Q4</v>
      </c>
      <c r="C219" t="s">
        <v>455</v>
      </c>
      <c r="D219" t="s">
        <v>436</v>
      </c>
      <c r="E219">
        <v>32500000</v>
      </c>
    </row>
    <row r="220" spans="1:5" x14ac:dyDescent="0.25">
      <c r="A220" t="s">
        <v>463</v>
      </c>
      <c r="B220" t="str">
        <f t="shared" si="2"/>
        <v>I0005M2014-Q1</v>
      </c>
      <c r="C220" t="s">
        <v>456</v>
      </c>
      <c r="D220" t="s">
        <v>430</v>
      </c>
      <c r="E220">
        <v>33150000</v>
      </c>
    </row>
    <row r="221" spans="1:5" x14ac:dyDescent="0.25">
      <c r="A221" t="s">
        <v>463</v>
      </c>
      <c r="B221" t="str">
        <f t="shared" si="2"/>
        <v>I0005M2014-Q2</v>
      </c>
      <c r="C221" t="s">
        <v>457</v>
      </c>
      <c r="D221" t="s">
        <v>433</v>
      </c>
      <c r="E221">
        <v>34807500</v>
      </c>
    </row>
    <row r="222" spans="1:5" x14ac:dyDescent="0.25">
      <c r="A222" t="s">
        <v>463</v>
      </c>
      <c r="B222" t="str">
        <f t="shared" si="2"/>
        <v>I0005M2014-Q3</v>
      </c>
      <c r="C222" t="s">
        <v>458</v>
      </c>
      <c r="D222" t="s">
        <v>427</v>
      </c>
      <c r="E222">
        <v>38122500</v>
      </c>
    </row>
    <row r="223" spans="1:5" x14ac:dyDescent="0.25">
      <c r="A223" t="s">
        <v>463</v>
      </c>
      <c r="B223" t="str">
        <f t="shared" si="2"/>
        <v>I0005M2014-Q4</v>
      </c>
      <c r="C223" t="s">
        <v>486</v>
      </c>
      <c r="D223" t="s">
        <v>557</v>
      </c>
      <c r="E223">
        <v>38802799</v>
      </c>
    </row>
    <row r="224" spans="1:5" x14ac:dyDescent="0.25">
      <c r="A224" t="s">
        <v>463</v>
      </c>
      <c r="B224" t="str">
        <f t="shared" si="2"/>
        <v>I0005M2015-Q1</v>
      </c>
      <c r="C224" t="s">
        <v>558</v>
      </c>
      <c r="D224" t="s">
        <v>559</v>
      </c>
      <c r="E224">
        <v>40002885</v>
      </c>
    </row>
    <row r="225" spans="1:6" x14ac:dyDescent="0.25">
      <c r="A225" t="s">
        <v>463</v>
      </c>
      <c r="B225" t="str">
        <f t="shared" si="2"/>
        <v>I0005M2015-Q2</v>
      </c>
      <c r="C225" t="s">
        <v>560</v>
      </c>
      <c r="D225" t="s">
        <v>561</v>
      </c>
      <c r="E225">
        <v>41240087</v>
      </c>
    </row>
    <row r="226" spans="1:6" x14ac:dyDescent="0.25">
      <c r="A226" t="s">
        <v>463</v>
      </c>
      <c r="B226" t="str">
        <f t="shared" si="2"/>
        <v>I0005M2015-Q3</v>
      </c>
      <c r="C226" t="s">
        <v>562</v>
      </c>
      <c r="D226" t="s">
        <v>563</v>
      </c>
      <c r="E226">
        <v>41656653</v>
      </c>
    </row>
    <row r="227" spans="1:6" x14ac:dyDescent="0.25">
      <c r="A227" t="s">
        <v>463</v>
      </c>
      <c r="B227" t="str">
        <f t="shared" si="2"/>
        <v>I0005M2015-Q4</v>
      </c>
      <c r="C227" t="s">
        <v>564</v>
      </c>
      <c r="D227" t="s">
        <v>565</v>
      </c>
      <c r="E227">
        <v>44506788</v>
      </c>
    </row>
    <row r="228" spans="1:6" x14ac:dyDescent="0.25">
      <c r="A228" t="s">
        <v>463</v>
      </c>
      <c r="B228" t="str">
        <f t="shared" si="2"/>
        <v>I0005M2016-Q1</v>
      </c>
      <c r="C228" t="s">
        <v>629</v>
      </c>
      <c r="D228" t="s">
        <v>628</v>
      </c>
      <c r="E228">
        <v>44951855</v>
      </c>
    </row>
    <row r="229" spans="1:6" x14ac:dyDescent="0.25">
      <c r="A229" t="s">
        <v>463</v>
      </c>
      <c r="B229" t="str">
        <f t="shared" si="2"/>
        <v>I0005M2016-Q2</v>
      </c>
      <c r="C229" t="s">
        <v>630</v>
      </c>
      <c r="D229" t="s">
        <v>631</v>
      </c>
      <c r="E229">
        <v>45176614</v>
      </c>
    </row>
    <row r="230" spans="1:6" x14ac:dyDescent="0.25">
      <c r="A230" t="s">
        <v>463</v>
      </c>
      <c r="B230" t="str">
        <f t="shared" si="2"/>
        <v>I0005M2016-Q3</v>
      </c>
      <c r="C230" t="s">
        <v>632</v>
      </c>
      <c r="D230" t="s">
        <v>633</v>
      </c>
      <c r="E230">
        <v>45086261</v>
      </c>
    </row>
    <row r="231" spans="1:6" x14ac:dyDescent="0.25">
      <c r="A231" t="s">
        <v>463</v>
      </c>
      <c r="B231" t="str">
        <f t="shared" si="2"/>
        <v>I0005M2016-Q4</v>
      </c>
      <c r="C231" t="s">
        <v>634</v>
      </c>
      <c r="D231" t="s">
        <v>635</v>
      </c>
      <c r="E231">
        <v>45266606</v>
      </c>
    </row>
    <row r="232" spans="1:6" x14ac:dyDescent="0.25">
      <c r="A232" t="s">
        <v>463</v>
      </c>
      <c r="B232" t="str">
        <f t="shared" si="2"/>
        <v>I0005M2017-Q1</v>
      </c>
      <c r="C232" t="s">
        <v>636</v>
      </c>
      <c r="D232" t="s">
        <v>637</v>
      </c>
      <c r="E232">
        <v>45764539</v>
      </c>
    </row>
    <row r="233" spans="1:6" x14ac:dyDescent="0.25">
      <c r="A233" t="s">
        <v>464</v>
      </c>
      <c r="B233" t="str">
        <f t="shared" si="2"/>
        <v>I0006M2009-Q1</v>
      </c>
      <c r="C233" t="s">
        <v>41</v>
      </c>
      <c r="D233" t="s">
        <v>44</v>
      </c>
      <c r="E233">
        <v>4725000</v>
      </c>
      <c r="F233" t="s">
        <v>186</v>
      </c>
    </row>
    <row r="234" spans="1:6" x14ac:dyDescent="0.25">
      <c r="A234" t="s">
        <v>464</v>
      </c>
      <c r="B234" t="str">
        <f t="shared" si="2"/>
        <v>I0006M2009-Q2</v>
      </c>
      <c r="C234" t="s">
        <v>42</v>
      </c>
      <c r="D234" t="s">
        <v>45</v>
      </c>
      <c r="E234">
        <v>4987500</v>
      </c>
    </row>
    <row r="235" spans="1:6" x14ac:dyDescent="0.25">
      <c r="A235" t="s">
        <v>464</v>
      </c>
      <c r="B235" t="str">
        <f t="shared" si="2"/>
        <v>I0006M2009-Q3</v>
      </c>
      <c r="C235" t="s">
        <v>43</v>
      </c>
      <c r="D235" t="s">
        <v>46</v>
      </c>
      <c r="E235">
        <v>5118750</v>
      </c>
    </row>
    <row r="236" spans="1:6" x14ac:dyDescent="0.25">
      <c r="A236" t="s">
        <v>464</v>
      </c>
      <c r="B236" t="str">
        <f t="shared" si="2"/>
        <v>I0006M2009-Q4</v>
      </c>
      <c r="C236" t="s">
        <v>40</v>
      </c>
      <c r="D236" t="s">
        <v>47</v>
      </c>
      <c r="E236">
        <v>5250000</v>
      </c>
    </row>
    <row r="237" spans="1:6" x14ac:dyDescent="0.25">
      <c r="A237" t="s">
        <v>464</v>
      </c>
      <c r="B237" t="str">
        <f t="shared" si="2"/>
        <v>I0006M2010-Q1</v>
      </c>
      <c r="C237" t="s">
        <v>19</v>
      </c>
      <c r="D237" t="s">
        <v>24</v>
      </c>
      <c r="E237">
        <v>8190000</v>
      </c>
    </row>
    <row r="238" spans="1:6" x14ac:dyDescent="0.25">
      <c r="A238" t="s">
        <v>464</v>
      </c>
      <c r="B238" t="str">
        <f t="shared" si="2"/>
        <v>I0006M2010-Q2</v>
      </c>
      <c r="C238" t="s">
        <v>20</v>
      </c>
      <c r="D238" t="s">
        <v>23</v>
      </c>
      <c r="E238">
        <v>8645000</v>
      </c>
    </row>
    <row r="239" spans="1:6" x14ac:dyDescent="0.25">
      <c r="A239" t="s">
        <v>464</v>
      </c>
      <c r="B239" t="str">
        <f t="shared" si="2"/>
        <v>I0006M2010-Q3</v>
      </c>
      <c r="C239" t="s">
        <v>21</v>
      </c>
      <c r="D239" t="s">
        <v>22</v>
      </c>
      <c r="E239">
        <v>8872500</v>
      </c>
    </row>
    <row r="240" spans="1:6" x14ac:dyDescent="0.25">
      <c r="A240" t="s">
        <v>464</v>
      </c>
      <c r="B240" t="str">
        <f t="shared" si="2"/>
        <v>I0006M2010-Q4</v>
      </c>
      <c r="C240" t="s">
        <v>11</v>
      </c>
      <c r="D240" t="s">
        <v>2</v>
      </c>
      <c r="E240">
        <v>9100000</v>
      </c>
    </row>
    <row r="241" spans="1:5" x14ac:dyDescent="0.25">
      <c r="A241" t="s">
        <v>464</v>
      </c>
      <c r="B241" t="str">
        <f t="shared" si="2"/>
        <v>I0006M2011-Q1</v>
      </c>
      <c r="C241" t="s">
        <v>12</v>
      </c>
      <c r="D241" t="s">
        <v>16</v>
      </c>
      <c r="E241">
        <v>13275000</v>
      </c>
    </row>
    <row r="242" spans="1:5" x14ac:dyDescent="0.25">
      <c r="A242" t="s">
        <v>464</v>
      </c>
      <c r="B242" t="str">
        <f t="shared" si="2"/>
        <v>I0006M2011-Q2</v>
      </c>
      <c r="C242" t="s">
        <v>13</v>
      </c>
      <c r="D242" t="s">
        <v>18</v>
      </c>
      <c r="E242">
        <v>14012500</v>
      </c>
    </row>
    <row r="243" spans="1:5" x14ac:dyDescent="0.25">
      <c r="A243" t="s">
        <v>464</v>
      </c>
      <c r="B243" t="str">
        <f t="shared" si="2"/>
        <v>I0006M2011-Q3</v>
      </c>
      <c r="C243" t="s">
        <v>14</v>
      </c>
      <c r="D243" t="s">
        <v>17</v>
      </c>
      <c r="E243">
        <v>14381250</v>
      </c>
    </row>
    <row r="244" spans="1:5" x14ac:dyDescent="0.25">
      <c r="A244" t="s">
        <v>464</v>
      </c>
      <c r="B244" t="str">
        <f t="shared" si="2"/>
        <v>I0006M2011-Q4</v>
      </c>
      <c r="C244" t="s">
        <v>15</v>
      </c>
      <c r="D244" t="s">
        <v>3</v>
      </c>
      <c r="E244">
        <v>14750000</v>
      </c>
    </row>
    <row r="245" spans="1:5" x14ac:dyDescent="0.25">
      <c r="A245" t="s">
        <v>464</v>
      </c>
      <c r="B245" t="str">
        <f t="shared" si="2"/>
        <v>I0006M2012-Q1</v>
      </c>
      <c r="C245" t="s">
        <v>418</v>
      </c>
      <c r="D245" t="s">
        <v>415</v>
      </c>
      <c r="E245">
        <v>14602500</v>
      </c>
    </row>
    <row r="246" spans="1:5" x14ac:dyDescent="0.25">
      <c r="A246" t="s">
        <v>464</v>
      </c>
      <c r="B246" t="str">
        <f t="shared" si="2"/>
        <v>I0006M2012-Q2</v>
      </c>
      <c r="C246" t="s">
        <v>419</v>
      </c>
      <c r="D246" t="s">
        <v>416</v>
      </c>
      <c r="E246">
        <v>15413750</v>
      </c>
    </row>
    <row r="247" spans="1:5" x14ac:dyDescent="0.25">
      <c r="A247" t="s">
        <v>464</v>
      </c>
      <c r="B247" t="str">
        <f t="shared" si="2"/>
        <v>I0006M2012-Q3</v>
      </c>
      <c r="C247" t="s">
        <v>420</v>
      </c>
      <c r="D247" t="s">
        <v>417</v>
      </c>
      <c r="E247">
        <v>15819375</v>
      </c>
    </row>
    <row r="248" spans="1:5" x14ac:dyDescent="0.25">
      <c r="A248" t="s">
        <v>464</v>
      </c>
      <c r="B248" t="str">
        <f t="shared" si="2"/>
        <v>I0006M2012-Q4</v>
      </c>
      <c r="C248" t="s">
        <v>451</v>
      </c>
      <c r="D248" t="s">
        <v>450</v>
      </c>
      <c r="E248">
        <v>16225000</v>
      </c>
    </row>
    <row r="249" spans="1:5" x14ac:dyDescent="0.25">
      <c r="A249" t="s">
        <v>464</v>
      </c>
      <c r="B249" t="str">
        <f t="shared" si="2"/>
        <v>I0006M2013-Q1</v>
      </c>
      <c r="C249" t="s">
        <v>452</v>
      </c>
      <c r="D249" t="s">
        <v>439</v>
      </c>
      <c r="E249">
        <v>15930000</v>
      </c>
    </row>
    <row r="250" spans="1:5" x14ac:dyDescent="0.25">
      <c r="A250" t="s">
        <v>464</v>
      </c>
      <c r="B250" t="str">
        <f t="shared" si="2"/>
        <v>I0006M2013-Q2</v>
      </c>
      <c r="C250" t="s">
        <v>453</v>
      </c>
      <c r="D250" t="s">
        <v>442</v>
      </c>
      <c r="E250">
        <v>16815000</v>
      </c>
    </row>
    <row r="251" spans="1:5" x14ac:dyDescent="0.25">
      <c r="A251" t="s">
        <v>464</v>
      </c>
      <c r="B251" t="str">
        <f t="shared" si="2"/>
        <v>I0006M2013-Q3</v>
      </c>
      <c r="C251" t="s">
        <v>454</v>
      </c>
      <c r="D251" t="s">
        <v>445</v>
      </c>
      <c r="E251">
        <v>17257500</v>
      </c>
    </row>
    <row r="252" spans="1:5" x14ac:dyDescent="0.25">
      <c r="A252" t="s">
        <v>464</v>
      </c>
      <c r="B252" t="str">
        <f t="shared" si="2"/>
        <v>I0006M2013-Q4</v>
      </c>
      <c r="C252" t="s">
        <v>455</v>
      </c>
      <c r="D252" t="s">
        <v>436</v>
      </c>
      <c r="E252">
        <v>17700000</v>
      </c>
    </row>
    <row r="253" spans="1:5" x14ac:dyDescent="0.25">
      <c r="A253" t="s">
        <v>464</v>
      </c>
      <c r="B253" t="str">
        <f t="shared" si="2"/>
        <v>I0006M2014-Q1</v>
      </c>
      <c r="C253" t="s">
        <v>456</v>
      </c>
      <c r="D253" t="s">
        <v>430</v>
      </c>
      <c r="E253">
        <v>18408000</v>
      </c>
    </row>
    <row r="254" spans="1:5" x14ac:dyDescent="0.25">
      <c r="A254" t="s">
        <v>464</v>
      </c>
      <c r="B254" t="str">
        <f t="shared" si="2"/>
        <v>I0006M2014-Q2</v>
      </c>
      <c r="C254" t="s">
        <v>457</v>
      </c>
      <c r="D254" t="s">
        <v>433</v>
      </c>
      <c r="E254">
        <v>19116000</v>
      </c>
    </row>
    <row r="255" spans="1:5" x14ac:dyDescent="0.25">
      <c r="A255" t="s">
        <v>464</v>
      </c>
      <c r="B255" t="str">
        <f t="shared" si="2"/>
        <v>I0006M2014-Q3</v>
      </c>
      <c r="C255" t="s">
        <v>458</v>
      </c>
      <c r="D255" t="s">
        <v>427</v>
      </c>
      <c r="E255">
        <v>20532000</v>
      </c>
    </row>
    <row r="256" spans="1:5" x14ac:dyDescent="0.25">
      <c r="A256" t="s">
        <v>464</v>
      </c>
      <c r="B256" t="str">
        <f t="shared" si="2"/>
        <v>I0006M2014-Q4</v>
      </c>
      <c r="C256" t="s">
        <v>486</v>
      </c>
      <c r="D256" t="s">
        <v>557</v>
      </c>
      <c r="E256">
        <v>20737320</v>
      </c>
    </row>
    <row r="257" spans="1:6" x14ac:dyDescent="0.25">
      <c r="A257" t="s">
        <v>464</v>
      </c>
      <c r="B257" t="str">
        <f t="shared" si="2"/>
        <v>I0006M2015-Q1</v>
      </c>
      <c r="C257" t="s">
        <v>558</v>
      </c>
      <c r="D257" t="s">
        <v>559</v>
      </c>
      <c r="E257">
        <v>20944693</v>
      </c>
    </row>
    <row r="258" spans="1:6" x14ac:dyDescent="0.25">
      <c r="A258" t="s">
        <v>464</v>
      </c>
      <c r="B258" t="str">
        <f t="shared" si="2"/>
        <v>I0006M2015-Q2</v>
      </c>
      <c r="C258" t="s">
        <v>560</v>
      </c>
      <c r="D258" t="s">
        <v>561</v>
      </c>
      <c r="E258">
        <v>21049416</v>
      </c>
    </row>
    <row r="259" spans="1:6" x14ac:dyDescent="0.25">
      <c r="A259" t="s">
        <v>464</v>
      </c>
      <c r="B259" t="str">
        <f t="shared" si="2"/>
        <v>I0006M2015-Q3</v>
      </c>
      <c r="C259" t="s">
        <v>562</v>
      </c>
      <c r="D259" t="s">
        <v>563</v>
      </c>
      <c r="E259">
        <v>23154663</v>
      </c>
    </row>
    <row r="260" spans="1:6" x14ac:dyDescent="0.25">
      <c r="A260" t="s">
        <v>464</v>
      </c>
      <c r="B260" t="str">
        <f t="shared" si="2"/>
        <v>I0006M2015-Q4</v>
      </c>
      <c r="C260" t="s">
        <v>564</v>
      </c>
      <c r="D260" t="s">
        <v>565</v>
      </c>
      <c r="E260">
        <v>24207550</v>
      </c>
    </row>
    <row r="261" spans="1:6" x14ac:dyDescent="0.25">
      <c r="A261" t="s">
        <v>464</v>
      </c>
      <c r="B261" t="str">
        <f t="shared" si="2"/>
        <v>I0006M2016-Q1</v>
      </c>
      <c r="C261" t="s">
        <v>629</v>
      </c>
      <c r="D261" t="s">
        <v>628</v>
      </c>
      <c r="E261">
        <v>24328587</v>
      </c>
    </row>
    <row r="262" spans="1:6" x14ac:dyDescent="0.25">
      <c r="A262" t="s">
        <v>464</v>
      </c>
      <c r="B262" t="str">
        <f t="shared" si="2"/>
        <v>I0006M2016-Q2</v>
      </c>
      <c r="C262" t="s">
        <v>630</v>
      </c>
      <c r="D262" t="s">
        <v>631</v>
      </c>
      <c r="E262">
        <v>24450230</v>
      </c>
    </row>
    <row r="263" spans="1:6" x14ac:dyDescent="0.25">
      <c r="A263" t="s">
        <v>464</v>
      </c>
      <c r="B263" t="str">
        <f t="shared" si="2"/>
        <v>I0006M2016-Q3</v>
      </c>
      <c r="C263" t="s">
        <v>632</v>
      </c>
      <c r="D263" t="s">
        <v>633</v>
      </c>
      <c r="E263">
        <v>24401330</v>
      </c>
    </row>
    <row r="264" spans="1:6" x14ac:dyDescent="0.25">
      <c r="A264" t="s">
        <v>464</v>
      </c>
      <c r="B264" t="str">
        <f t="shared" si="2"/>
        <v>I0006M2016-Q4</v>
      </c>
      <c r="C264" t="s">
        <v>634</v>
      </c>
      <c r="D264" t="s">
        <v>635</v>
      </c>
      <c r="E264">
        <v>24498935</v>
      </c>
    </row>
    <row r="265" spans="1:6" x14ac:dyDescent="0.25">
      <c r="A265" t="s">
        <v>464</v>
      </c>
      <c r="B265" t="str">
        <f t="shared" si="2"/>
        <v>I0006M2017-Q1</v>
      </c>
      <c r="C265" t="s">
        <v>636</v>
      </c>
      <c r="D265" t="s">
        <v>637</v>
      </c>
      <c r="E265">
        <v>24768423</v>
      </c>
    </row>
    <row r="266" spans="1:6" x14ac:dyDescent="0.25">
      <c r="A266" t="s">
        <v>465</v>
      </c>
      <c r="B266" t="str">
        <f t="shared" si="2"/>
        <v>I0007M2009-Q1</v>
      </c>
      <c r="C266" t="s">
        <v>41</v>
      </c>
      <c r="D266" t="s">
        <v>44</v>
      </c>
      <c r="E266">
        <v>52</v>
      </c>
      <c r="F266" t="s">
        <v>187</v>
      </c>
    </row>
    <row r="267" spans="1:6" x14ac:dyDescent="0.25">
      <c r="A267" t="s">
        <v>465</v>
      </c>
      <c r="B267" t="str">
        <f t="shared" si="2"/>
        <v>I0007M2009-Q2</v>
      </c>
      <c r="C267" t="s">
        <v>42</v>
      </c>
      <c r="D267" t="s">
        <v>45</v>
      </c>
      <c r="E267">
        <v>51</v>
      </c>
    </row>
    <row r="268" spans="1:6" x14ac:dyDescent="0.25">
      <c r="A268" t="s">
        <v>465</v>
      </c>
      <c r="B268" t="str">
        <f t="shared" si="2"/>
        <v>I0007M2009-Q3</v>
      </c>
      <c r="C268" t="s">
        <v>43</v>
      </c>
      <c r="D268" t="s">
        <v>46</v>
      </c>
      <c r="E268">
        <v>50</v>
      </c>
    </row>
    <row r="269" spans="1:6" x14ac:dyDescent="0.25">
      <c r="A269" t="s">
        <v>465</v>
      </c>
      <c r="B269" t="str">
        <f t="shared" si="2"/>
        <v>I0007M2009-Q4</v>
      </c>
      <c r="C269" t="s">
        <v>40</v>
      </c>
      <c r="D269" t="s">
        <v>47</v>
      </c>
      <c r="E269">
        <v>50</v>
      </c>
    </row>
    <row r="270" spans="1:6" x14ac:dyDescent="0.25">
      <c r="A270" t="s">
        <v>465</v>
      </c>
      <c r="B270" t="str">
        <f t="shared" si="2"/>
        <v>I0007M2010-Q1</v>
      </c>
      <c r="C270" t="s">
        <v>19</v>
      </c>
      <c r="D270" t="s">
        <v>24</v>
      </c>
      <c r="E270">
        <v>49</v>
      </c>
    </row>
    <row r="271" spans="1:6" x14ac:dyDescent="0.25">
      <c r="A271" t="s">
        <v>465</v>
      </c>
      <c r="B271" t="str">
        <f t="shared" si="2"/>
        <v>I0007M2010-Q2</v>
      </c>
      <c r="C271" t="s">
        <v>20</v>
      </c>
      <c r="D271" t="s">
        <v>23</v>
      </c>
      <c r="E271">
        <v>49.5</v>
      </c>
    </row>
    <row r="272" spans="1:6" x14ac:dyDescent="0.25">
      <c r="A272" t="s">
        <v>465</v>
      </c>
      <c r="B272" t="str">
        <f t="shared" si="2"/>
        <v>I0007M2010-Q3</v>
      </c>
      <c r="C272" t="s">
        <v>21</v>
      </c>
      <c r="D272" t="s">
        <v>22</v>
      </c>
      <c r="E272">
        <v>48</v>
      </c>
    </row>
    <row r="273" spans="1:5" x14ac:dyDescent="0.25">
      <c r="A273" t="s">
        <v>465</v>
      </c>
      <c r="B273" t="str">
        <f t="shared" si="2"/>
        <v>I0007M2010-Q4</v>
      </c>
      <c r="C273" t="s">
        <v>11</v>
      </c>
      <c r="D273" t="s">
        <v>2</v>
      </c>
      <c r="E273">
        <v>47</v>
      </c>
    </row>
    <row r="274" spans="1:5" x14ac:dyDescent="0.25">
      <c r="A274" t="s">
        <v>465</v>
      </c>
      <c r="B274" t="str">
        <f t="shared" si="2"/>
        <v>I0007M2011-Q1</v>
      </c>
      <c r="C274" t="s">
        <v>12</v>
      </c>
      <c r="D274" t="s">
        <v>16</v>
      </c>
      <c r="E274">
        <v>47</v>
      </c>
    </row>
    <row r="275" spans="1:5" x14ac:dyDescent="0.25">
      <c r="A275" t="s">
        <v>465</v>
      </c>
      <c r="B275" t="str">
        <f t="shared" ref="B275:B369" si="3">CONCATENATE(A275,"M",C275)</f>
        <v>I0007M2011-Q2</v>
      </c>
      <c r="C275" t="s">
        <v>13</v>
      </c>
      <c r="D275" t="s">
        <v>18</v>
      </c>
      <c r="E275">
        <v>45</v>
      </c>
    </row>
    <row r="276" spans="1:5" x14ac:dyDescent="0.25">
      <c r="A276" t="s">
        <v>465</v>
      </c>
      <c r="B276" t="str">
        <f t="shared" si="3"/>
        <v>I0007M2011-Q3</v>
      </c>
      <c r="C276" t="s">
        <v>14</v>
      </c>
      <c r="D276" t="s">
        <v>17</v>
      </c>
      <c r="E276">
        <v>45</v>
      </c>
    </row>
    <row r="277" spans="1:5" x14ac:dyDescent="0.25">
      <c r="A277" t="s">
        <v>465</v>
      </c>
      <c r="B277" t="str">
        <f t="shared" si="3"/>
        <v>I0007M2011-Q4</v>
      </c>
      <c r="C277" t="s">
        <v>15</v>
      </c>
      <c r="D277" t="s">
        <v>3</v>
      </c>
      <c r="E277">
        <v>44</v>
      </c>
    </row>
    <row r="278" spans="1:5" x14ac:dyDescent="0.25">
      <c r="A278" t="s">
        <v>465</v>
      </c>
      <c r="B278" t="str">
        <f t="shared" si="3"/>
        <v>I0007M2012-Q1</v>
      </c>
      <c r="C278" t="s">
        <v>418</v>
      </c>
      <c r="D278" t="s">
        <v>415</v>
      </c>
      <c r="E278">
        <v>43.5</v>
      </c>
    </row>
    <row r="279" spans="1:5" x14ac:dyDescent="0.25">
      <c r="A279" t="s">
        <v>465</v>
      </c>
      <c r="B279" t="str">
        <f t="shared" si="3"/>
        <v>I0007M2012-Q2</v>
      </c>
      <c r="C279" t="s">
        <v>419</v>
      </c>
      <c r="D279" t="s">
        <v>416</v>
      </c>
      <c r="E279">
        <v>43.5</v>
      </c>
    </row>
    <row r="280" spans="1:5" x14ac:dyDescent="0.25">
      <c r="A280" t="s">
        <v>465</v>
      </c>
      <c r="B280" t="str">
        <f t="shared" si="3"/>
        <v>I0007M2012-Q3</v>
      </c>
      <c r="C280" t="s">
        <v>420</v>
      </c>
      <c r="D280" t="s">
        <v>417</v>
      </c>
      <c r="E280">
        <v>43</v>
      </c>
    </row>
    <row r="281" spans="1:5" x14ac:dyDescent="0.25">
      <c r="A281" t="s">
        <v>465</v>
      </c>
      <c r="B281" t="str">
        <f t="shared" si="3"/>
        <v>I0007M2012-Q4</v>
      </c>
      <c r="C281" t="s">
        <v>451</v>
      </c>
      <c r="D281" t="s">
        <v>450</v>
      </c>
      <c r="E281">
        <v>43</v>
      </c>
    </row>
    <row r="282" spans="1:5" x14ac:dyDescent="0.25">
      <c r="A282" t="s">
        <v>465</v>
      </c>
      <c r="B282" t="str">
        <f t="shared" si="3"/>
        <v>I0007M2013-Q1</v>
      </c>
      <c r="C282" t="s">
        <v>452</v>
      </c>
      <c r="D282" t="s">
        <v>439</v>
      </c>
      <c r="E282">
        <v>42.8</v>
      </c>
    </row>
    <row r="283" spans="1:5" x14ac:dyDescent="0.25">
      <c r="A283" t="s">
        <v>465</v>
      </c>
      <c r="B283" t="str">
        <f t="shared" si="3"/>
        <v>I0007M2013-Q2</v>
      </c>
      <c r="C283" t="s">
        <v>453</v>
      </c>
      <c r="D283" t="s">
        <v>442</v>
      </c>
      <c r="E283">
        <v>42.5</v>
      </c>
    </row>
    <row r="284" spans="1:5" x14ac:dyDescent="0.25">
      <c r="A284" t="s">
        <v>465</v>
      </c>
      <c r="B284" t="str">
        <f t="shared" si="3"/>
        <v>I0007M2013-Q3</v>
      </c>
      <c r="C284" t="s">
        <v>454</v>
      </c>
      <c r="D284" t="s">
        <v>445</v>
      </c>
      <c r="E284">
        <v>42</v>
      </c>
    </row>
    <row r="285" spans="1:5" x14ac:dyDescent="0.25">
      <c r="A285" t="s">
        <v>465</v>
      </c>
      <c r="B285" t="str">
        <f t="shared" si="3"/>
        <v>I0007M2013-Q4</v>
      </c>
      <c r="C285" t="s">
        <v>455</v>
      </c>
      <c r="D285" t="s">
        <v>436</v>
      </c>
      <c r="E285">
        <v>41</v>
      </c>
    </row>
    <row r="286" spans="1:5" x14ac:dyDescent="0.25">
      <c r="A286" t="s">
        <v>465</v>
      </c>
      <c r="B286" t="str">
        <f t="shared" si="3"/>
        <v>I0007M2014-Q1</v>
      </c>
      <c r="C286" t="s">
        <v>456</v>
      </c>
      <c r="D286" t="s">
        <v>430</v>
      </c>
      <c r="E286">
        <v>40</v>
      </c>
    </row>
    <row r="287" spans="1:5" x14ac:dyDescent="0.25">
      <c r="A287" t="s">
        <v>465</v>
      </c>
      <c r="B287" t="str">
        <f t="shared" si="3"/>
        <v>I0007M2014-Q2</v>
      </c>
      <c r="C287" t="s">
        <v>457</v>
      </c>
      <c r="D287" t="s">
        <v>433</v>
      </c>
      <c r="E287">
        <v>40.5</v>
      </c>
    </row>
    <row r="288" spans="1:5" x14ac:dyDescent="0.25">
      <c r="A288" t="s">
        <v>465</v>
      </c>
      <c r="B288" t="str">
        <f t="shared" si="3"/>
        <v>I0007M2014-Q3</v>
      </c>
      <c r="C288" t="s">
        <v>458</v>
      </c>
      <c r="D288" t="s">
        <v>427</v>
      </c>
      <c r="E288">
        <v>39.5</v>
      </c>
    </row>
    <row r="289" spans="1:6" x14ac:dyDescent="0.25">
      <c r="A289" t="s">
        <v>465</v>
      </c>
      <c r="B289" t="str">
        <f t="shared" si="3"/>
        <v>I0007M2014-Q4</v>
      </c>
      <c r="C289" t="s">
        <v>486</v>
      </c>
      <c r="D289" t="s">
        <v>557</v>
      </c>
      <c r="E289">
        <v>39</v>
      </c>
    </row>
    <row r="290" spans="1:6" x14ac:dyDescent="0.25">
      <c r="A290" t="s">
        <v>465</v>
      </c>
      <c r="B290" t="str">
        <f t="shared" si="3"/>
        <v>I0007M2015-Q1</v>
      </c>
      <c r="C290" t="s">
        <v>558</v>
      </c>
      <c r="D290" t="s">
        <v>559</v>
      </c>
      <c r="E290">
        <v>39.5</v>
      </c>
    </row>
    <row r="291" spans="1:6" x14ac:dyDescent="0.25">
      <c r="A291" t="s">
        <v>465</v>
      </c>
      <c r="B291" t="str">
        <f t="shared" si="3"/>
        <v>I0007M2015-Q2</v>
      </c>
      <c r="C291" t="s">
        <v>560</v>
      </c>
      <c r="D291" t="s">
        <v>561</v>
      </c>
      <c r="E291">
        <v>39.799999999999997</v>
      </c>
    </row>
    <row r="292" spans="1:6" x14ac:dyDescent="0.25">
      <c r="A292" t="s">
        <v>465</v>
      </c>
      <c r="B292" t="str">
        <f t="shared" si="3"/>
        <v>I0007M2015-Q3</v>
      </c>
      <c r="C292" t="s">
        <v>562</v>
      </c>
      <c r="D292" t="s">
        <v>563</v>
      </c>
      <c r="E292">
        <v>40.1</v>
      </c>
    </row>
    <row r="293" spans="1:6" x14ac:dyDescent="0.25">
      <c r="A293" t="s">
        <v>465</v>
      </c>
      <c r="B293" t="str">
        <f t="shared" si="3"/>
        <v>I0007M2015-Q4</v>
      </c>
      <c r="C293" t="s">
        <v>564</v>
      </c>
      <c r="D293" t="s">
        <v>565</v>
      </c>
      <c r="E293">
        <v>39.5</v>
      </c>
    </row>
    <row r="294" spans="1:6" x14ac:dyDescent="0.25">
      <c r="A294" t="s">
        <v>465</v>
      </c>
      <c r="B294" t="str">
        <f t="shared" si="3"/>
        <v>I0007M2016-Q1</v>
      </c>
      <c r="C294" t="s">
        <v>629</v>
      </c>
      <c r="D294" t="s">
        <v>628</v>
      </c>
      <c r="E294">
        <v>38.799999999999997</v>
      </c>
    </row>
    <row r="295" spans="1:6" x14ac:dyDescent="0.25">
      <c r="A295" t="s">
        <v>465</v>
      </c>
      <c r="B295" t="str">
        <f t="shared" si="3"/>
        <v>I0007M2016-Q2</v>
      </c>
      <c r="C295" t="s">
        <v>630</v>
      </c>
      <c r="D295" t="s">
        <v>631</v>
      </c>
      <c r="E295">
        <v>38.700000000000003</v>
      </c>
    </row>
    <row r="296" spans="1:6" x14ac:dyDescent="0.25">
      <c r="A296" t="s">
        <v>465</v>
      </c>
      <c r="B296" t="str">
        <f t="shared" si="3"/>
        <v>I0007M2016-Q3</v>
      </c>
      <c r="C296" t="s">
        <v>632</v>
      </c>
      <c r="D296" t="s">
        <v>633</v>
      </c>
      <c r="E296">
        <v>38</v>
      </c>
    </row>
    <row r="297" spans="1:6" x14ac:dyDescent="0.25">
      <c r="A297" t="s">
        <v>465</v>
      </c>
      <c r="B297" t="str">
        <f t="shared" si="3"/>
        <v>I0007M2016-Q4</v>
      </c>
      <c r="C297" t="s">
        <v>634</v>
      </c>
      <c r="D297" t="s">
        <v>635</v>
      </c>
      <c r="E297">
        <v>38.6</v>
      </c>
    </row>
    <row r="298" spans="1:6" x14ac:dyDescent="0.25">
      <c r="A298" t="s">
        <v>465</v>
      </c>
      <c r="B298" t="str">
        <f t="shared" si="3"/>
        <v>I0007M2017-Q1</v>
      </c>
      <c r="C298" t="s">
        <v>636</v>
      </c>
      <c r="D298" t="s">
        <v>637</v>
      </c>
      <c r="E298">
        <v>38.5</v>
      </c>
    </row>
    <row r="299" spans="1:6" x14ac:dyDescent="0.25">
      <c r="A299" t="s">
        <v>466</v>
      </c>
      <c r="B299" t="str">
        <f t="shared" si="3"/>
        <v>I0008M2009</v>
      </c>
      <c r="C299">
        <v>2009</v>
      </c>
      <c r="D299" t="s">
        <v>47</v>
      </c>
      <c r="E299">
        <v>150000000</v>
      </c>
      <c r="F299" t="s">
        <v>189</v>
      </c>
    </row>
    <row r="300" spans="1:6" x14ac:dyDescent="0.25">
      <c r="A300" t="s">
        <v>466</v>
      </c>
      <c r="B300" t="str">
        <f t="shared" si="3"/>
        <v>I0008M2010</v>
      </c>
      <c r="C300">
        <v>2010</v>
      </c>
      <c r="D300" t="s">
        <v>2</v>
      </c>
      <c r="E300">
        <v>200000000</v>
      </c>
    </row>
    <row r="301" spans="1:6" x14ac:dyDescent="0.25">
      <c r="A301" t="s">
        <v>466</v>
      </c>
      <c r="B301" t="str">
        <f t="shared" si="3"/>
        <v>I0008M2011</v>
      </c>
      <c r="C301">
        <v>2011</v>
      </c>
      <c r="D301" t="s">
        <v>3</v>
      </c>
      <c r="E301">
        <v>280000000</v>
      </c>
    </row>
    <row r="302" spans="1:6" x14ac:dyDescent="0.25">
      <c r="A302" t="s">
        <v>466</v>
      </c>
      <c r="B302" t="str">
        <f t="shared" si="3"/>
        <v>I0008M2012</v>
      </c>
      <c r="C302">
        <v>2012</v>
      </c>
      <c r="D302" t="s">
        <v>450</v>
      </c>
      <c r="E302">
        <v>310000000</v>
      </c>
    </row>
    <row r="303" spans="1:6" x14ac:dyDescent="0.25">
      <c r="A303" t="s">
        <v>466</v>
      </c>
      <c r="B303" t="str">
        <f t="shared" si="3"/>
        <v>I0008M2013</v>
      </c>
      <c r="C303">
        <v>2013</v>
      </c>
      <c r="D303" t="s">
        <v>436</v>
      </c>
      <c r="E303">
        <v>430000000</v>
      </c>
    </row>
    <row r="304" spans="1:6" x14ac:dyDescent="0.25">
      <c r="A304" t="s">
        <v>466</v>
      </c>
      <c r="B304" t="str">
        <f t="shared" si="3"/>
        <v>I0008M2014</v>
      </c>
      <c r="C304">
        <v>2014</v>
      </c>
      <c r="D304" t="s">
        <v>557</v>
      </c>
      <c r="E304">
        <v>442900000</v>
      </c>
    </row>
    <row r="305" spans="1:6" x14ac:dyDescent="0.25">
      <c r="A305" t="s">
        <v>466</v>
      </c>
      <c r="B305" t="str">
        <f t="shared" si="3"/>
        <v>I0008M2015</v>
      </c>
      <c r="C305">
        <v>2015</v>
      </c>
      <c r="D305" t="s">
        <v>565</v>
      </c>
      <c r="E305">
        <v>460616000</v>
      </c>
    </row>
    <row r="306" spans="1:6" x14ac:dyDescent="0.25">
      <c r="A306" t="s">
        <v>466</v>
      </c>
      <c r="B306" t="str">
        <f t="shared" si="3"/>
        <v>I0008M2016</v>
      </c>
      <c r="C306">
        <v>2016</v>
      </c>
      <c r="D306" t="s">
        <v>635</v>
      </c>
      <c r="E306">
        <v>451403680</v>
      </c>
    </row>
    <row r="307" spans="1:6" x14ac:dyDescent="0.25">
      <c r="A307" t="s">
        <v>467</v>
      </c>
      <c r="B307" t="str">
        <f t="shared" si="3"/>
        <v>I0009M2009</v>
      </c>
      <c r="C307">
        <v>2009</v>
      </c>
      <c r="D307" t="s">
        <v>47</v>
      </c>
      <c r="E307">
        <v>1</v>
      </c>
      <c r="F307" t="s">
        <v>154</v>
      </c>
    </row>
    <row r="308" spans="1:6" x14ac:dyDescent="0.25">
      <c r="A308" t="s">
        <v>467</v>
      </c>
      <c r="B308" t="str">
        <f t="shared" si="3"/>
        <v>I0009M2010</v>
      </c>
      <c r="C308">
        <v>2010</v>
      </c>
      <c r="D308" t="s">
        <v>2</v>
      </c>
      <c r="E308">
        <v>2</v>
      </c>
    </row>
    <row r="309" spans="1:6" x14ac:dyDescent="0.25">
      <c r="A309" t="s">
        <v>467</v>
      </c>
      <c r="B309" t="str">
        <f t="shared" si="3"/>
        <v>I0009M2011</v>
      </c>
      <c r="C309">
        <v>2011</v>
      </c>
      <c r="D309" t="s">
        <v>3</v>
      </c>
      <c r="E309">
        <v>5</v>
      </c>
    </row>
    <row r="310" spans="1:6" x14ac:dyDescent="0.25">
      <c r="A310" t="s">
        <v>467</v>
      </c>
      <c r="B310" t="str">
        <f t="shared" si="3"/>
        <v>I0009M2012</v>
      </c>
      <c r="C310">
        <v>2012</v>
      </c>
      <c r="D310" t="s">
        <v>450</v>
      </c>
      <c r="E310">
        <v>7</v>
      </c>
    </row>
    <row r="311" spans="1:6" x14ac:dyDescent="0.25">
      <c r="A311" t="s">
        <v>467</v>
      </c>
      <c r="B311" t="str">
        <f t="shared" si="3"/>
        <v>I0009M2013</v>
      </c>
      <c r="C311">
        <v>2013</v>
      </c>
      <c r="D311" t="s">
        <v>436</v>
      </c>
      <c r="E311">
        <v>10</v>
      </c>
    </row>
    <row r="312" spans="1:6" x14ac:dyDescent="0.25">
      <c r="A312" t="s">
        <v>467</v>
      </c>
      <c r="B312" t="str">
        <f t="shared" si="3"/>
        <v>I0009M2014</v>
      </c>
      <c r="C312">
        <v>2014</v>
      </c>
      <c r="D312" t="s">
        <v>557</v>
      </c>
      <c r="E312">
        <v>12</v>
      </c>
    </row>
    <row r="313" spans="1:6" x14ac:dyDescent="0.25">
      <c r="A313" t="s">
        <v>467</v>
      </c>
      <c r="B313" t="str">
        <f t="shared" si="3"/>
        <v>I0009M2015</v>
      </c>
      <c r="C313">
        <v>2015</v>
      </c>
      <c r="D313" t="s">
        <v>565</v>
      </c>
      <c r="E313">
        <v>14</v>
      </c>
    </row>
    <row r="314" spans="1:6" x14ac:dyDescent="0.25">
      <c r="A314" t="s">
        <v>467</v>
      </c>
      <c r="B314" t="str">
        <f t="shared" si="3"/>
        <v>I0009M2016</v>
      </c>
      <c r="C314">
        <v>2016</v>
      </c>
      <c r="D314" t="s">
        <v>635</v>
      </c>
      <c r="E314">
        <v>14</v>
      </c>
    </row>
    <row r="315" spans="1:6" x14ac:dyDescent="0.25">
      <c r="A315" t="s">
        <v>468</v>
      </c>
      <c r="B315" t="str">
        <f t="shared" si="3"/>
        <v>I0010M2009</v>
      </c>
      <c r="C315">
        <v>2009</v>
      </c>
      <c r="D315" t="s">
        <v>47</v>
      </c>
      <c r="E315">
        <v>10</v>
      </c>
      <c r="F315" t="s">
        <v>192</v>
      </c>
    </row>
    <row r="316" spans="1:6" x14ac:dyDescent="0.25">
      <c r="A316" t="s">
        <v>468</v>
      </c>
      <c r="B316" t="str">
        <f t="shared" si="3"/>
        <v>I0010M2010</v>
      </c>
      <c r="C316">
        <v>2010</v>
      </c>
      <c r="D316" t="s">
        <v>2</v>
      </c>
      <c r="E316">
        <v>13</v>
      </c>
    </row>
    <row r="317" spans="1:6" x14ac:dyDescent="0.25">
      <c r="A317" t="s">
        <v>468</v>
      </c>
      <c r="B317" t="str">
        <f t="shared" si="3"/>
        <v>I0010M2011</v>
      </c>
      <c r="C317">
        <v>2011</v>
      </c>
      <c r="D317" t="s">
        <v>3</v>
      </c>
      <c r="E317">
        <v>21</v>
      </c>
    </row>
    <row r="318" spans="1:6" x14ac:dyDescent="0.25">
      <c r="A318" t="s">
        <v>468</v>
      </c>
      <c r="B318" t="str">
        <f t="shared" si="3"/>
        <v>I0010M2012</v>
      </c>
      <c r="C318">
        <v>2012</v>
      </c>
      <c r="D318" t="s">
        <v>450</v>
      </c>
      <c r="E318">
        <v>22</v>
      </c>
    </row>
    <row r="319" spans="1:6" x14ac:dyDescent="0.25">
      <c r="A319" t="s">
        <v>468</v>
      </c>
      <c r="B319" t="str">
        <f t="shared" si="3"/>
        <v>I0010M2013</v>
      </c>
      <c r="C319">
        <v>2013</v>
      </c>
      <c r="D319" t="s">
        <v>436</v>
      </c>
      <c r="E319">
        <v>25</v>
      </c>
    </row>
    <row r="320" spans="1:6" x14ac:dyDescent="0.25">
      <c r="A320" t="s">
        <v>468</v>
      </c>
      <c r="B320" t="str">
        <f t="shared" si="3"/>
        <v>I0010M2014</v>
      </c>
      <c r="C320">
        <v>2014</v>
      </c>
      <c r="D320" t="s">
        <v>557</v>
      </c>
      <c r="E320">
        <v>26</v>
      </c>
    </row>
    <row r="321" spans="1:6" x14ac:dyDescent="0.25">
      <c r="A321" t="s">
        <v>468</v>
      </c>
      <c r="B321" t="str">
        <f t="shared" si="3"/>
        <v>I0010M2015</v>
      </c>
      <c r="C321">
        <v>2015</v>
      </c>
      <c r="D321" t="s">
        <v>565</v>
      </c>
      <c r="E321">
        <v>28</v>
      </c>
    </row>
    <row r="322" spans="1:6" x14ac:dyDescent="0.25">
      <c r="A322" t="s">
        <v>468</v>
      </c>
      <c r="B322" t="str">
        <f t="shared" si="3"/>
        <v>I0010M2016</v>
      </c>
      <c r="C322">
        <v>2016</v>
      </c>
      <c r="D322" t="s">
        <v>635</v>
      </c>
      <c r="E322">
        <v>27</v>
      </c>
    </row>
    <row r="323" spans="1:6" x14ac:dyDescent="0.25">
      <c r="A323" t="s">
        <v>469</v>
      </c>
      <c r="B323" t="str">
        <f t="shared" si="3"/>
        <v>I0011M2009</v>
      </c>
      <c r="C323">
        <v>2009</v>
      </c>
      <c r="D323" t="s">
        <v>47</v>
      </c>
      <c r="E323">
        <v>22</v>
      </c>
      <c r="F323" t="s">
        <v>627</v>
      </c>
    </row>
    <row r="324" spans="1:6" x14ac:dyDescent="0.25">
      <c r="A324" t="s">
        <v>469</v>
      </c>
      <c r="B324" t="str">
        <f t="shared" si="3"/>
        <v>I0011M2010</v>
      </c>
      <c r="C324">
        <v>2010</v>
      </c>
      <c r="D324" t="s">
        <v>2</v>
      </c>
      <c r="E324">
        <v>18</v>
      </c>
    </row>
    <row r="325" spans="1:6" x14ac:dyDescent="0.25">
      <c r="A325" t="s">
        <v>469</v>
      </c>
      <c r="B325" t="str">
        <f t="shared" si="3"/>
        <v>I0011M2011</v>
      </c>
      <c r="C325">
        <v>2011</v>
      </c>
      <c r="D325" t="s">
        <v>3</v>
      </c>
      <c r="E325">
        <v>15</v>
      </c>
    </row>
    <row r="326" spans="1:6" x14ac:dyDescent="0.25">
      <c r="A326" t="s">
        <v>469</v>
      </c>
      <c r="B326" t="str">
        <f t="shared" si="3"/>
        <v>I0011M2012</v>
      </c>
      <c r="C326">
        <v>2012</v>
      </c>
      <c r="D326" t="s">
        <v>450</v>
      </c>
      <c r="E326">
        <v>13</v>
      </c>
    </row>
    <row r="327" spans="1:6" x14ac:dyDescent="0.25">
      <c r="A327" t="s">
        <v>469</v>
      </c>
      <c r="B327" t="str">
        <f t="shared" si="3"/>
        <v>I0011M2013</v>
      </c>
      <c r="C327">
        <v>2013</v>
      </c>
      <c r="D327" t="s">
        <v>436</v>
      </c>
      <c r="E327">
        <v>12</v>
      </c>
    </row>
    <row r="328" spans="1:6" x14ac:dyDescent="0.25">
      <c r="A328" t="s">
        <v>469</v>
      </c>
      <c r="B328" t="str">
        <f t="shared" si="3"/>
        <v>I0011M2014</v>
      </c>
      <c r="C328">
        <v>2014</v>
      </c>
      <c r="D328" t="s">
        <v>557</v>
      </c>
      <c r="E328">
        <v>10</v>
      </c>
    </row>
    <row r="329" spans="1:6" x14ac:dyDescent="0.25">
      <c r="A329" t="s">
        <v>469</v>
      </c>
      <c r="B329" t="str">
        <f t="shared" si="3"/>
        <v>I0011M2015</v>
      </c>
      <c r="C329">
        <v>2015</v>
      </c>
      <c r="D329" t="s">
        <v>565</v>
      </c>
      <c r="E329">
        <v>7</v>
      </c>
    </row>
    <row r="330" spans="1:6" x14ac:dyDescent="0.25">
      <c r="A330" t="s">
        <v>469</v>
      </c>
      <c r="B330" t="str">
        <f t="shared" si="3"/>
        <v>I0011M2016</v>
      </c>
      <c r="C330">
        <v>2016</v>
      </c>
      <c r="D330" t="s">
        <v>635</v>
      </c>
      <c r="E330">
        <v>8</v>
      </c>
    </row>
    <row r="331" spans="1:6" x14ac:dyDescent="0.25">
      <c r="A331" t="s">
        <v>470</v>
      </c>
      <c r="B331" t="str">
        <f t="shared" si="3"/>
        <v>I0012M2009</v>
      </c>
      <c r="C331">
        <v>2009</v>
      </c>
      <c r="D331" t="s">
        <v>47</v>
      </c>
      <c r="E331">
        <v>6</v>
      </c>
      <c r="F331" t="s">
        <v>196</v>
      </c>
    </row>
    <row r="332" spans="1:6" x14ac:dyDescent="0.25">
      <c r="A332" t="s">
        <v>470</v>
      </c>
      <c r="B332" t="str">
        <f t="shared" si="3"/>
        <v>I0012M2010</v>
      </c>
      <c r="C332">
        <v>2010</v>
      </c>
      <c r="D332" t="s">
        <v>2</v>
      </c>
      <c r="E332">
        <v>16</v>
      </c>
    </row>
    <row r="333" spans="1:6" x14ac:dyDescent="0.25">
      <c r="A333" t="s">
        <v>470</v>
      </c>
      <c r="B333" t="str">
        <f t="shared" si="3"/>
        <v>I0012M2011</v>
      </c>
      <c r="C333">
        <v>2011</v>
      </c>
      <c r="D333" t="s">
        <v>3</v>
      </c>
      <c r="E333">
        <v>23</v>
      </c>
    </row>
    <row r="334" spans="1:6" x14ac:dyDescent="0.25">
      <c r="A334" t="s">
        <v>470</v>
      </c>
      <c r="B334" t="str">
        <f t="shared" si="3"/>
        <v>I0012M2012</v>
      </c>
      <c r="C334">
        <v>2012</v>
      </c>
      <c r="D334" t="s">
        <v>450</v>
      </c>
      <c r="E334">
        <v>35</v>
      </c>
    </row>
    <row r="335" spans="1:6" x14ac:dyDescent="0.25">
      <c r="A335" t="s">
        <v>470</v>
      </c>
      <c r="B335" t="str">
        <f t="shared" si="3"/>
        <v>I0012M2013</v>
      </c>
      <c r="C335">
        <v>2013</v>
      </c>
      <c r="D335" t="s">
        <v>436</v>
      </c>
      <c r="E335">
        <v>38</v>
      </c>
    </row>
    <row r="336" spans="1:6" x14ac:dyDescent="0.25">
      <c r="A336" t="s">
        <v>470</v>
      </c>
      <c r="B336" t="str">
        <f t="shared" si="3"/>
        <v>I0012M2014</v>
      </c>
      <c r="C336">
        <v>2014</v>
      </c>
      <c r="D336" t="s">
        <v>557</v>
      </c>
      <c r="E336">
        <v>39</v>
      </c>
    </row>
    <row r="337" spans="1:6" x14ac:dyDescent="0.25">
      <c r="A337" t="s">
        <v>470</v>
      </c>
      <c r="B337" t="str">
        <f t="shared" si="3"/>
        <v>I0012M2015</v>
      </c>
      <c r="C337">
        <v>2015</v>
      </c>
      <c r="D337" t="s">
        <v>565</v>
      </c>
      <c r="E337">
        <v>41</v>
      </c>
    </row>
    <row r="338" spans="1:6" x14ac:dyDescent="0.25">
      <c r="A338" t="s">
        <v>470</v>
      </c>
      <c r="B338" t="str">
        <f t="shared" si="3"/>
        <v>I0012M2016</v>
      </c>
      <c r="C338">
        <v>2016</v>
      </c>
      <c r="D338" t="s">
        <v>635</v>
      </c>
      <c r="E338">
        <v>40</v>
      </c>
    </row>
    <row r="339" spans="1:6" x14ac:dyDescent="0.25">
      <c r="A339" t="s">
        <v>471</v>
      </c>
      <c r="B339" t="str">
        <f t="shared" si="3"/>
        <v>I0013M2009</v>
      </c>
      <c r="C339">
        <v>2009</v>
      </c>
      <c r="D339" t="s">
        <v>47</v>
      </c>
      <c r="E339">
        <v>66</v>
      </c>
      <c r="F339" t="s">
        <v>198</v>
      </c>
    </row>
    <row r="340" spans="1:6" x14ac:dyDescent="0.25">
      <c r="A340" t="s">
        <v>471</v>
      </c>
      <c r="B340" t="str">
        <f t="shared" si="3"/>
        <v>I0013M2010</v>
      </c>
      <c r="C340">
        <v>2010</v>
      </c>
      <c r="D340" t="s">
        <v>2</v>
      </c>
      <c r="E340">
        <v>74</v>
      </c>
    </row>
    <row r="341" spans="1:6" x14ac:dyDescent="0.25">
      <c r="A341" t="s">
        <v>471</v>
      </c>
      <c r="B341" t="str">
        <f t="shared" si="3"/>
        <v>I0013M2011</v>
      </c>
      <c r="C341">
        <v>2011</v>
      </c>
      <c r="D341" t="s">
        <v>3</v>
      </c>
      <c r="E341">
        <v>85</v>
      </c>
    </row>
    <row r="342" spans="1:6" x14ac:dyDescent="0.25">
      <c r="A342" t="s">
        <v>471</v>
      </c>
      <c r="B342" t="str">
        <f t="shared" si="3"/>
        <v>I0013M2012</v>
      </c>
      <c r="C342">
        <v>2012</v>
      </c>
      <c r="D342" t="s">
        <v>450</v>
      </c>
      <c r="E342">
        <v>84</v>
      </c>
    </row>
    <row r="343" spans="1:6" x14ac:dyDescent="0.25">
      <c r="A343" t="s">
        <v>471</v>
      </c>
      <c r="B343" t="str">
        <f t="shared" si="3"/>
        <v>I0013M2013</v>
      </c>
      <c r="C343">
        <v>2013</v>
      </c>
      <c r="D343" t="s">
        <v>436</v>
      </c>
      <c r="E343">
        <v>88</v>
      </c>
    </row>
    <row r="344" spans="1:6" x14ac:dyDescent="0.25">
      <c r="A344" t="s">
        <v>471</v>
      </c>
      <c r="B344" t="str">
        <f t="shared" si="3"/>
        <v>I0013M2014</v>
      </c>
      <c r="C344">
        <v>2014</v>
      </c>
      <c r="D344" t="s">
        <v>557</v>
      </c>
      <c r="E344">
        <v>91</v>
      </c>
    </row>
    <row r="345" spans="1:6" x14ac:dyDescent="0.25">
      <c r="A345" t="s">
        <v>471</v>
      </c>
      <c r="B345" t="str">
        <f t="shared" si="3"/>
        <v>I0013M2015</v>
      </c>
      <c r="C345">
        <v>2015</v>
      </c>
      <c r="D345" t="s">
        <v>565</v>
      </c>
      <c r="E345">
        <v>95</v>
      </c>
    </row>
    <row r="346" spans="1:6" x14ac:dyDescent="0.25">
      <c r="A346" t="s">
        <v>471</v>
      </c>
      <c r="B346" t="str">
        <f t="shared" si="3"/>
        <v>I0013M2016</v>
      </c>
      <c r="C346">
        <v>2016</v>
      </c>
      <c r="D346" t="s">
        <v>635</v>
      </c>
      <c r="E346">
        <v>93</v>
      </c>
    </row>
    <row r="347" spans="1:6" x14ac:dyDescent="0.25">
      <c r="A347" t="s">
        <v>472</v>
      </c>
      <c r="B347" t="str">
        <f t="shared" si="3"/>
        <v>I0014M2009</v>
      </c>
      <c r="C347">
        <v>2009</v>
      </c>
      <c r="D347" t="s">
        <v>47</v>
      </c>
      <c r="E347">
        <v>6.54</v>
      </c>
      <c r="F347" t="s">
        <v>145</v>
      </c>
    </row>
    <row r="348" spans="1:6" x14ac:dyDescent="0.25">
      <c r="A348" t="s">
        <v>472</v>
      </c>
      <c r="B348" t="str">
        <f t="shared" si="3"/>
        <v>I0014M2010</v>
      </c>
      <c r="C348">
        <v>2010</v>
      </c>
      <c r="D348" t="s">
        <v>2</v>
      </c>
      <c r="E348">
        <v>7.9</v>
      </c>
    </row>
    <row r="349" spans="1:6" x14ac:dyDescent="0.25">
      <c r="A349" t="s">
        <v>472</v>
      </c>
      <c r="B349" t="str">
        <f t="shared" si="3"/>
        <v>I0014M2011</v>
      </c>
      <c r="C349">
        <v>2011</v>
      </c>
      <c r="D349" t="s">
        <v>3</v>
      </c>
      <c r="E349">
        <v>8.77</v>
      </c>
    </row>
    <row r="350" spans="1:6" x14ac:dyDescent="0.25">
      <c r="A350" t="s">
        <v>472</v>
      </c>
      <c r="B350" t="str">
        <f t="shared" si="3"/>
        <v>I0014M2012</v>
      </c>
      <c r="C350">
        <v>2012</v>
      </c>
      <c r="D350" t="s">
        <v>450</v>
      </c>
      <c r="E350">
        <v>9.1999999999999993</v>
      </c>
    </row>
    <row r="351" spans="1:6" x14ac:dyDescent="0.25">
      <c r="A351" t="s">
        <v>472</v>
      </c>
      <c r="B351" t="str">
        <f t="shared" si="3"/>
        <v>I0014M2013</v>
      </c>
      <c r="C351">
        <v>2013</v>
      </c>
      <c r="D351" t="s">
        <v>436</v>
      </c>
      <c r="E351">
        <v>9.5</v>
      </c>
    </row>
    <row r="352" spans="1:6" x14ac:dyDescent="0.25">
      <c r="A352" t="s">
        <v>472</v>
      </c>
      <c r="B352" t="str">
        <f t="shared" si="3"/>
        <v>I0014M2014</v>
      </c>
      <c r="C352">
        <v>2014</v>
      </c>
      <c r="D352" t="s">
        <v>557</v>
      </c>
      <c r="E352">
        <v>9.6</v>
      </c>
    </row>
    <row r="353" spans="1:6" x14ac:dyDescent="0.25">
      <c r="A353" t="s">
        <v>472</v>
      </c>
      <c r="B353" t="str">
        <f t="shared" si="3"/>
        <v>I0014M2015</v>
      </c>
      <c r="C353">
        <v>2015</v>
      </c>
      <c r="D353" t="s">
        <v>565</v>
      </c>
      <c r="E353">
        <v>9.8000000000000007</v>
      </c>
    </row>
    <row r="354" spans="1:6" x14ac:dyDescent="0.25">
      <c r="A354" t="s">
        <v>472</v>
      </c>
      <c r="B354" t="str">
        <f t="shared" si="3"/>
        <v>I0014M2016</v>
      </c>
      <c r="C354">
        <v>2016</v>
      </c>
      <c r="D354" t="s">
        <v>635</v>
      </c>
      <c r="E354">
        <v>10.199999999999999</v>
      </c>
    </row>
    <row r="355" spans="1:6" x14ac:dyDescent="0.25">
      <c r="A355" t="s">
        <v>473</v>
      </c>
      <c r="B355" t="str">
        <f t="shared" si="3"/>
        <v>I0015M2009-Q1</v>
      </c>
      <c r="C355" t="s">
        <v>41</v>
      </c>
      <c r="D355" t="s">
        <v>44</v>
      </c>
      <c r="E355">
        <f>ROUNDUP(((2*E726)+(E924)+(4*E825)+(7*E957))/14,1)</f>
        <v>10.4</v>
      </c>
      <c r="F355" t="s">
        <v>201</v>
      </c>
    </row>
    <row r="356" spans="1:6" x14ac:dyDescent="0.25">
      <c r="A356" t="s">
        <v>473</v>
      </c>
      <c r="B356" t="str">
        <f t="shared" si="3"/>
        <v>I0015M2009-Q2</v>
      </c>
      <c r="C356" t="s">
        <v>42</v>
      </c>
      <c r="D356" t="s">
        <v>45</v>
      </c>
      <c r="E356">
        <f>ROUNDUP(((2*E727)+(E925)+(4*E826)+(7*E958))/14,1)</f>
        <v>11</v>
      </c>
    </row>
    <row r="357" spans="1:6" x14ac:dyDescent="0.25">
      <c r="A357" t="s">
        <v>473</v>
      </c>
      <c r="B357" t="str">
        <f t="shared" si="3"/>
        <v>I0015M2009-Q3</v>
      </c>
      <c r="C357" t="s">
        <v>43</v>
      </c>
      <c r="D357" t="s">
        <v>46</v>
      </c>
      <c r="E357">
        <f>ROUNDUP(((2*E728)+(E926)+(4*E827)+(7*E959))/14,1)</f>
        <v>10.6</v>
      </c>
    </row>
    <row r="358" spans="1:6" x14ac:dyDescent="0.25">
      <c r="A358" t="s">
        <v>473</v>
      </c>
      <c r="B358" t="str">
        <f t="shared" si="3"/>
        <v>I0015M2009-Q4</v>
      </c>
      <c r="C358" t="s">
        <v>40</v>
      </c>
      <c r="D358" t="s">
        <v>47</v>
      </c>
      <c r="E358">
        <f>ROUNDUP(((2*E729)+(E927)+(4*E828)+(7*E960))/14,1)</f>
        <v>10.199999999999999</v>
      </c>
    </row>
    <row r="359" spans="1:6" x14ac:dyDescent="0.25">
      <c r="A359" t="s">
        <v>473</v>
      </c>
      <c r="B359" t="str">
        <f t="shared" si="3"/>
        <v>I0015M2010-Q1</v>
      </c>
      <c r="C359" t="s">
        <v>19</v>
      </c>
      <c r="D359" t="s">
        <v>24</v>
      </c>
      <c r="E359">
        <f>ROUNDUP(((2*E730)+(E928)+(4*E829)+(7*E961))/14,1)</f>
        <v>12.1</v>
      </c>
    </row>
    <row r="360" spans="1:6" x14ac:dyDescent="0.25">
      <c r="A360" t="s">
        <v>473</v>
      </c>
      <c r="B360" t="str">
        <f t="shared" si="3"/>
        <v>I0015M2010-Q2</v>
      </c>
      <c r="C360" t="s">
        <v>20</v>
      </c>
      <c r="D360" t="s">
        <v>23</v>
      </c>
      <c r="E360">
        <f>ROUNDUP(((2*E731)+(E929)+(4*E830)+(7*E962))/14,1)</f>
        <v>13.9</v>
      </c>
    </row>
    <row r="361" spans="1:6" x14ac:dyDescent="0.25">
      <c r="A361" t="s">
        <v>473</v>
      </c>
      <c r="B361" t="str">
        <f t="shared" si="3"/>
        <v>I0015M2010-Q3</v>
      </c>
      <c r="C361" t="s">
        <v>21</v>
      </c>
      <c r="D361" t="s">
        <v>22</v>
      </c>
      <c r="E361">
        <f>ROUNDUP(((2*E732)+(E930)+(4*E831)+(7*E963))/14,1)</f>
        <v>15</v>
      </c>
    </row>
    <row r="362" spans="1:6" x14ac:dyDescent="0.25">
      <c r="A362" t="s">
        <v>473</v>
      </c>
      <c r="B362" t="str">
        <f t="shared" si="3"/>
        <v>I0015M2010-Q4</v>
      </c>
      <c r="C362" t="s">
        <v>11</v>
      </c>
      <c r="D362" t="s">
        <v>2</v>
      </c>
      <c r="E362">
        <f>ROUNDUP(((2*E733)+(E931)+(4*E832)+(7*E964))/14,1)</f>
        <v>14.799999999999999</v>
      </c>
    </row>
    <row r="363" spans="1:6" x14ac:dyDescent="0.25">
      <c r="A363" t="s">
        <v>473</v>
      </c>
      <c r="B363" t="str">
        <f t="shared" si="3"/>
        <v>I0015M2011-Q1</v>
      </c>
      <c r="C363" t="s">
        <v>12</v>
      </c>
      <c r="D363" t="s">
        <v>16</v>
      </c>
      <c r="E363">
        <f>ROUNDUP(((2*E734)+(E932)+(4*E833)+(7*E965))/14,1)</f>
        <v>15.7</v>
      </c>
    </row>
    <row r="364" spans="1:6" x14ac:dyDescent="0.25">
      <c r="A364" t="s">
        <v>473</v>
      </c>
      <c r="B364" t="str">
        <f t="shared" si="3"/>
        <v>I0015M2011-Q2</v>
      </c>
      <c r="C364" t="s">
        <v>13</v>
      </c>
      <c r="D364" t="s">
        <v>18</v>
      </c>
      <c r="E364">
        <f>ROUNDUP(((2*E735)+(E933)+(4*E834)+(7*E966))/14,1)</f>
        <v>18.3</v>
      </c>
    </row>
    <row r="365" spans="1:6" x14ac:dyDescent="0.25">
      <c r="A365" t="s">
        <v>473</v>
      </c>
      <c r="B365" t="str">
        <f t="shared" si="3"/>
        <v>I0015M2011-Q3</v>
      </c>
      <c r="C365" t="s">
        <v>14</v>
      </c>
      <c r="D365" t="s">
        <v>17</v>
      </c>
      <c r="E365">
        <f>ROUNDUP(((2*E736)+(E934)+(4*E835)+(7*E967))/14,1)</f>
        <v>20.3</v>
      </c>
    </row>
    <row r="366" spans="1:6" x14ac:dyDescent="0.25">
      <c r="A366" t="s">
        <v>473</v>
      </c>
      <c r="B366" t="str">
        <f t="shared" si="3"/>
        <v>I0015M2011-Q4</v>
      </c>
      <c r="C366" t="s">
        <v>15</v>
      </c>
      <c r="D366" t="s">
        <v>3</v>
      </c>
      <c r="E366">
        <f>ROUNDUP(((2*E737)+(E935)+(4*E836)+(7*E968))/14,1)</f>
        <v>21.900000000000002</v>
      </c>
    </row>
    <row r="367" spans="1:6" x14ac:dyDescent="0.25">
      <c r="A367" t="s">
        <v>473</v>
      </c>
      <c r="B367" t="str">
        <f t="shared" si="3"/>
        <v>I0015M2012-Q1</v>
      </c>
      <c r="C367" t="s">
        <v>418</v>
      </c>
      <c r="D367" t="s">
        <v>415</v>
      </c>
      <c r="E367">
        <f>ROUNDUP(((2*E738)+(E936)+(4*E837)+(7*E969))/14,1)</f>
        <v>22.900000000000002</v>
      </c>
    </row>
    <row r="368" spans="1:6" x14ac:dyDescent="0.25">
      <c r="A368" t="s">
        <v>473</v>
      </c>
      <c r="B368" t="str">
        <f t="shared" si="3"/>
        <v>I0015M2012-Q2</v>
      </c>
      <c r="C368" t="s">
        <v>419</v>
      </c>
      <c r="D368" t="s">
        <v>416</v>
      </c>
      <c r="E368">
        <f>ROUNDUP(((2*E739)+(E937)+(4*E838)+(7*E970))/14,1)</f>
        <v>23.700000000000003</v>
      </c>
    </row>
    <row r="369" spans="1:5" x14ac:dyDescent="0.25">
      <c r="A369" t="s">
        <v>473</v>
      </c>
      <c r="B369" t="str">
        <f t="shared" si="3"/>
        <v>I0015M2012-Q3</v>
      </c>
      <c r="C369" t="s">
        <v>420</v>
      </c>
      <c r="D369" t="s">
        <v>417</v>
      </c>
      <c r="E369">
        <f>ROUNDUP(((2*E740)+(E938)+(4*E839)+(7*E971))/14,1)</f>
        <v>24.8</v>
      </c>
    </row>
    <row r="370" spans="1:5" x14ac:dyDescent="0.25">
      <c r="A370" t="s">
        <v>473</v>
      </c>
      <c r="B370" t="str">
        <f t="shared" ref="B370:B453" si="4">CONCATENATE(A370,"M",C370)</f>
        <v>I0015M2012-Q4</v>
      </c>
      <c r="C370" t="s">
        <v>451</v>
      </c>
      <c r="D370" t="s">
        <v>450</v>
      </c>
      <c r="E370">
        <f>ROUNDUP(((2*E741)+(E939)+(4*E840)+(7*E972))/14,1)</f>
        <v>23.700000000000003</v>
      </c>
    </row>
    <row r="371" spans="1:5" x14ac:dyDescent="0.25">
      <c r="A371" t="s">
        <v>473</v>
      </c>
      <c r="B371" t="str">
        <f t="shared" si="4"/>
        <v>I0015M2013-Q1</v>
      </c>
      <c r="C371" t="s">
        <v>452</v>
      </c>
      <c r="D371" t="s">
        <v>439</v>
      </c>
      <c r="E371">
        <f>ROUNDUP(((2*E742)+(E940)+(4*E841)+(7*E973))/14,1)</f>
        <v>25.5</v>
      </c>
    </row>
    <row r="372" spans="1:5" x14ac:dyDescent="0.25">
      <c r="A372" t="s">
        <v>473</v>
      </c>
      <c r="B372" t="str">
        <f t="shared" si="4"/>
        <v>I0015M2013-Q2</v>
      </c>
      <c r="C372" t="s">
        <v>453</v>
      </c>
      <c r="D372" t="s">
        <v>442</v>
      </c>
      <c r="E372">
        <f>ROUNDUP(((2*E743)+(E941)+(4*E842)+(7*E974))/14,1)</f>
        <v>27.3</v>
      </c>
    </row>
    <row r="373" spans="1:5" x14ac:dyDescent="0.25">
      <c r="A373" t="s">
        <v>473</v>
      </c>
      <c r="B373" t="str">
        <f t="shared" si="4"/>
        <v>I0015M2013-Q3</v>
      </c>
      <c r="C373" t="s">
        <v>454</v>
      </c>
      <c r="D373" t="s">
        <v>445</v>
      </c>
      <c r="E373">
        <f>ROUNDUP(((2*E744)+(E942)+(4*E843)+(7*E975))/14,1)</f>
        <v>27.3</v>
      </c>
    </row>
    <row r="374" spans="1:5" x14ac:dyDescent="0.25">
      <c r="A374" t="s">
        <v>473</v>
      </c>
      <c r="B374" t="str">
        <f t="shared" si="4"/>
        <v>I0015M2013-Q4</v>
      </c>
      <c r="C374" t="s">
        <v>455</v>
      </c>
      <c r="D374" t="s">
        <v>436</v>
      </c>
      <c r="E374">
        <f>ROUNDUP(((2*E745)+(E943)+(4*E844)+(7*E976))/14,1)</f>
        <v>27.900000000000002</v>
      </c>
    </row>
    <row r="375" spans="1:5" x14ac:dyDescent="0.25">
      <c r="A375" t="s">
        <v>473</v>
      </c>
      <c r="B375" t="str">
        <f t="shared" si="4"/>
        <v>I0015M2014-Q1</v>
      </c>
      <c r="C375" t="s">
        <v>456</v>
      </c>
      <c r="D375" t="s">
        <v>430</v>
      </c>
      <c r="E375">
        <f>ROUNDUP(((2*E746)+(E944)+(4*E845)+(7*E977))/14,1)</f>
        <v>29.900000000000002</v>
      </c>
    </row>
    <row r="376" spans="1:5" x14ac:dyDescent="0.25">
      <c r="A376" t="s">
        <v>473</v>
      </c>
      <c r="B376" t="str">
        <f t="shared" si="4"/>
        <v>I0015M2014-Q2</v>
      </c>
      <c r="C376" t="s">
        <v>457</v>
      </c>
      <c r="D376" t="s">
        <v>433</v>
      </c>
      <c r="E376">
        <f>ROUNDUP(((2*E747)+(E945)+(4*E846)+(7*E978))/14,1)</f>
        <v>32.200000000000003</v>
      </c>
    </row>
    <row r="377" spans="1:5" x14ac:dyDescent="0.25">
      <c r="A377" t="s">
        <v>473</v>
      </c>
      <c r="B377" t="str">
        <f t="shared" si="4"/>
        <v>I0015M2014-Q3</v>
      </c>
      <c r="C377" t="s">
        <v>458</v>
      </c>
      <c r="D377" t="s">
        <v>427</v>
      </c>
      <c r="E377">
        <f>ROUNDUP(((2*E748)+(E946)+(4*E847)+(7*E979))/14,1)</f>
        <v>33.6</v>
      </c>
    </row>
    <row r="378" spans="1:5" x14ac:dyDescent="0.25">
      <c r="A378" t="s">
        <v>473</v>
      </c>
      <c r="B378" t="str">
        <f t="shared" si="4"/>
        <v>I0015M2014-Q4</v>
      </c>
      <c r="C378" t="s">
        <v>486</v>
      </c>
      <c r="D378" t="s">
        <v>557</v>
      </c>
      <c r="E378">
        <f>ROUNDUP(((2*E749)+(E947)+(4*E848)+(7*E980))/14,1)</f>
        <v>34</v>
      </c>
    </row>
    <row r="379" spans="1:5" x14ac:dyDescent="0.25">
      <c r="A379" t="s">
        <v>473</v>
      </c>
      <c r="B379" t="str">
        <f t="shared" si="4"/>
        <v>I0015M2015-Q1</v>
      </c>
      <c r="C379" t="s">
        <v>558</v>
      </c>
      <c r="D379" t="s">
        <v>559</v>
      </c>
      <c r="E379">
        <f>ROUNDUP(((2*E750)+(E948)+(4*E849)+(7*E981))/14,1)</f>
        <v>35.700000000000003</v>
      </c>
    </row>
    <row r="380" spans="1:5" x14ac:dyDescent="0.25">
      <c r="A380" t="s">
        <v>473</v>
      </c>
      <c r="B380" t="str">
        <f t="shared" si="4"/>
        <v>I0015M2015-Q2</v>
      </c>
      <c r="C380" t="s">
        <v>560</v>
      </c>
      <c r="D380" t="s">
        <v>561</v>
      </c>
      <c r="E380">
        <f>ROUNDUP(((2*E751)+(E949)+(4*E850)+(7*E982))/14,1)</f>
        <v>37.300000000000004</v>
      </c>
    </row>
    <row r="381" spans="1:5" x14ac:dyDescent="0.25">
      <c r="A381" t="s">
        <v>473</v>
      </c>
      <c r="B381" t="str">
        <f t="shared" si="4"/>
        <v>I0015M2015-Q3</v>
      </c>
      <c r="C381" t="s">
        <v>562</v>
      </c>
      <c r="D381" t="s">
        <v>563</v>
      </c>
      <c r="E381">
        <f>ROUNDUP(((2*E752)+(E950)+(4*E851)+(7*E983))/14,1)</f>
        <v>39.700000000000003</v>
      </c>
    </row>
    <row r="382" spans="1:5" x14ac:dyDescent="0.25">
      <c r="A382" t="s">
        <v>473</v>
      </c>
      <c r="B382" t="str">
        <f t="shared" si="4"/>
        <v>I0015M2015-Q4</v>
      </c>
      <c r="C382" t="s">
        <v>564</v>
      </c>
      <c r="D382" t="s">
        <v>565</v>
      </c>
      <c r="E382">
        <f>ROUNDUP(((2*E753)+(E951)+(4*E852)+(7*E984))/14,1)</f>
        <v>40.6</v>
      </c>
    </row>
    <row r="383" spans="1:5" x14ac:dyDescent="0.25">
      <c r="A383" t="s">
        <v>473</v>
      </c>
      <c r="B383" t="str">
        <f t="shared" si="4"/>
        <v>I0015M2016-Q1</v>
      </c>
      <c r="C383" t="s">
        <v>629</v>
      </c>
      <c r="D383" t="s">
        <v>628</v>
      </c>
      <c r="E383">
        <v>40.799999999999997</v>
      </c>
    </row>
    <row r="384" spans="1:5" x14ac:dyDescent="0.25">
      <c r="A384" t="s">
        <v>473</v>
      </c>
      <c r="B384" t="str">
        <f t="shared" si="4"/>
        <v>I0015M2016-Q2</v>
      </c>
      <c r="C384" t="s">
        <v>630</v>
      </c>
      <c r="D384" t="s">
        <v>631</v>
      </c>
      <c r="E384">
        <v>42</v>
      </c>
    </row>
    <row r="385" spans="1:6" x14ac:dyDescent="0.25">
      <c r="A385" t="s">
        <v>473</v>
      </c>
      <c r="B385" t="str">
        <f t="shared" si="4"/>
        <v>I0015M2016-Q3</v>
      </c>
      <c r="C385" t="s">
        <v>632</v>
      </c>
      <c r="D385" t="s">
        <v>633</v>
      </c>
      <c r="E385">
        <v>42</v>
      </c>
    </row>
    <row r="386" spans="1:6" x14ac:dyDescent="0.25">
      <c r="A386" t="s">
        <v>473</v>
      </c>
      <c r="B386" t="str">
        <f t="shared" si="4"/>
        <v>I0015M2016-Q4</v>
      </c>
      <c r="C386" t="s">
        <v>634</v>
      </c>
      <c r="D386" t="s">
        <v>635</v>
      </c>
      <c r="E386">
        <v>44</v>
      </c>
    </row>
    <row r="387" spans="1:6" x14ac:dyDescent="0.25">
      <c r="A387" t="s">
        <v>473</v>
      </c>
      <c r="B387" t="str">
        <f t="shared" si="4"/>
        <v>I0015M2017-Q1</v>
      </c>
      <c r="C387" t="s">
        <v>636</v>
      </c>
      <c r="D387" t="s">
        <v>637</v>
      </c>
      <c r="E387">
        <v>40</v>
      </c>
    </row>
    <row r="388" spans="1:6" x14ac:dyDescent="0.25">
      <c r="A388" t="s">
        <v>474</v>
      </c>
      <c r="B388" t="str">
        <f t="shared" si="4"/>
        <v>I0016M2009-Q1</v>
      </c>
      <c r="C388" t="s">
        <v>41</v>
      </c>
      <c r="D388" t="s">
        <v>44</v>
      </c>
      <c r="E388">
        <v>1250</v>
      </c>
      <c r="F388" t="s">
        <v>203</v>
      </c>
    </row>
    <row r="389" spans="1:6" x14ac:dyDescent="0.25">
      <c r="A389" t="s">
        <v>474</v>
      </c>
      <c r="B389" t="str">
        <f t="shared" si="4"/>
        <v>I0016M2009-Q2</v>
      </c>
      <c r="C389" t="s">
        <v>42</v>
      </c>
      <c r="D389" t="s">
        <v>45</v>
      </c>
      <c r="E389">
        <v>2500</v>
      </c>
    </row>
    <row r="390" spans="1:6" x14ac:dyDescent="0.25">
      <c r="A390" t="s">
        <v>474</v>
      </c>
      <c r="B390" t="str">
        <f t="shared" si="4"/>
        <v>I0016M2009-Q3</v>
      </c>
      <c r="C390" t="s">
        <v>43</v>
      </c>
      <c r="D390" t="s">
        <v>46</v>
      </c>
      <c r="E390">
        <v>4125</v>
      </c>
    </row>
    <row r="391" spans="1:6" x14ac:dyDescent="0.25">
      <c r="A391" t="s">
        <v>474</v>
      </c>
      <c r="B391" t="str">
        <f t="shared" si="4"/>
        <v>I0016M2009-Q4</v>
      </c>
      <c r="C391" t="s">
        <v>40</v>
      </c>
      <c r="D391" t="s">
        <v>47</v>
      </c>
      <c r="E391">
        <v>4521</v>
      </c>
    </row>
    <row r="392" spans="1:6" x14ac:dyDescent="0.25">
      <c r="A392" t="s">
        <v>474</v>
      </c>
      <c r="B392" t="str">
        <f t="shared" si="4"/>
        <v>I0016M2010-Q1</v>
      </c>
      <c r="C392" t="s">
        <v>19</v>
      </c>
      <c r="D392" t="s">
        <v>24</v>
      </c>
      <c r="E392">
        <v>5120</v>
      </c>
    </row>
    <row r="393" spans="1:6" x14ac:dyDescent="0.25">
      <c r="A393" t="s">
        <v>474</v>
      </c>
      <c r="B393" t="str">
        <f t="shared" si="4"/>
        <v>I0016M2010-Q2</v>
      </c>
      <c r="C393" t="s">
        <v>20</v>
      </c>
      <c r="D393" t="s">
        <v>23</v>
      </c>
      <c r="E393">
        <v>5300</v>
      </c>
    </row>
    <row r="394" spans="1:6" x14ac:dyDescent="0.25">
      <c r="A394" t="s">
        <v>474</v>
      </c>
      <c r="B394" t="str">
        <f t="shared" si="4"/>
        <v>I0016M2010-Q3</v>
      </c>
      <c r="C394" t="s">
        <v>21</v>
      </c>
      <c r="D394" t="s">
        <v>22</v>
      </c>
      <c r="E394">
        <v>6248</v>
      </c>
    </row>
    <row r="395" spans="1:6" x14ac:dyDescent="0.25">
      <c r="A395" t="s">
        <v>474</v>
      </c>
      <c r="B395" t="str">
        <f t="shared" si="4"/>
        <v>I0016M2010-Q4</v>
      </c>
      <c r="C395" t="s">
        <v>11</v>
      </c>
      <c r="D395" t="s">
        <v>2</v>
      </c>
      <c r="E395">
        <v>7505</v>
      </c>
    </row>
    <row r="396" spans="1:6" x14ac:dyDescent="0.25">
      <c r="A396" t="s">
        <v>474</v>
      </c>
      <c r="B396" t="str">
        <f t="shared" si="4"/>
        <v>I0016M2011-Q1</v>
      </c>
      <c r="C396" t="s">
        <v>12</v>
      </c>
      <c r="D396" t="s">
        <v>16</v>
      </c>
      <c r="E396">
        <v>8102</v>
      </c>
    </row>
    <row r="397" spans="1:6" x14ac:dyDescent="0.25">
      <c r="A397" t="s">
        <v>474</v>
      </c>
      <c r="B397" t="str">
        <f t="shared" si="4"/>
        <v>I0016M2011-Q2</v>
      </c>
      <c r="C397" t="s">
        <v>13</v>
      </c>
      <c r="D397" t="s">
        <v>18</v>
      </c>
      <c r="E397">
        <v>8520</v>
      </c>
    </row>
    <row r="398" spans="1:6" x14ac:dyDescent="0.25">
      <c r="A398" t="s">
        <v>474</v>
      </c>
      <c r="B398" t="str">
        <f t="shared" si="4"/>
        <v>I0016M2011-Q3</v>
      </c>
      <c r="C398" t="s">
        <v>14</v>
      </c>
      <c r="D398" t="s">
        <v>17</v>
      </c>
      <c r="E398">
        <v>9502</v>
      </c>
    </row>
    <row r="399" spans="1:6" x14ac:dyDescent="0.25">
      <c r="A399" t="s">
        <v>474</v>
      </c>
      <c r="B399" t="str">
        <f t="shared" si="4"/>
        <v>I0016M2011-Q4</v>
      </c>
      <c r="C399" t="s">
        <v>15</v>
      </c>
      <c r="D399" t="s">
        <v>3</v>
      </c>
      <c r="E399">
        <v>10200</v>
      </c>
    </row>
    <row r="400" spans="1:6" x14ac:dyDescent="0.25">
      <c r="A400" t="s">
        <v>474</v>
      </c>
      <c r="B400" t="str">
        <f t="shared" si="4"/>
        <v>I0016M2012-Q1</v>
      </c>
      <c r="C400" t="s">
        <v>418</v>
      </c>
      <c r="D400" t="s">
        <v>415</v>
      </c>
      <c r="E400">
        <v>12440</v>
      </c>
    </row>
    <row r="401" spans="1:5" x14ac:dyDescent="0.25">
      <c r="A401" t="s">
        <v>474</v>
      </c>
      <c r="B401" t="str">
        <f t="shared" si="4"/>
        <v>I0016M2012-Q2</v>
      </c>
      <c r="C401" t="s">
        <v>419</v>
      </c>
      <c r="D401" t="s">
        <v>416</v>
      </c>
      <c r="E401">
        <v>14450</v>
      </c>
    </row>
    <row r="402" spans="1:5" x14ac:dyDescent="0.25">
      <c r="A402" t="s">
        <v>474</v>
      </c>
      <c r="B402" t="str">
        <f t="shared" si="4"/>
        <v>I0016M2012-Q3</v>
      </c>
      <c r="C402" t="s">
        <v>420</v>
      </c>
      <c r="D402" t="s">
        <v>417</v>
      </c>
      <c r="E402">
        <v>16020</v>
      </c>
    </row>
    <row r="403" spans="1:5" x14ac:dyDescent="0.25">
      <c r="A403" t="s">
        <v>474</v>
      </c>
      <c r="B403" t="str">
        <f t="shared" si="4"/>
        <v>I0016M2012-Q4</v>
      </c>
      <c r="C403" t="s">
        <v>451</v>
      </c>
      <c r="D403" t="s">
        <v>450</v>
      </c>
      <c r="E403">
        <v>17890</v>
      </c>
    </row>
    <row r="404" spans="1:5" x14ac:dyDescent="0.25">
      <c r="A404" t="s">
        <v>474</v>
      </c>
      <c r="B404" t="str">
        <f t="shared" si="4"/>
        <v>I0016M2013-Q1</v>
      </c>
      <c r="C404" t="s">
        <v>452</v>
      </c>
      <c r="D404" t="s">
        <v>439</v>
      </c>
      <c r="E404">
        <v>18290</v>
      </c>
    </row>
    <row r="405" spans="1:5" x14ac:dyDescent="0.25">
      <c r="A405" t="s">
        <v>474</v>
      </c>
      <c r="B405" t="str">
        <f t="shared" si="4"/>
        <v>I0016M2013-Q2</v>
      </c>
      <c r="C405" t="s">
        <v>453</v>
      </c>
      <c r="D405" t="s">
        <v>442</v>
      </c>
      <c r="E405">
        <v>19200</v>
      </c>
    </row>
    <row r="406" spans="1:5" x14ac:dyDescent="0.25">
      <c r="A406" t="s">
        <v>474</v>
      </c>
      <c r="B406" t="str">
        <f t="shared" si="4"/>
        <v>I0016M2013-Q3</v>
      </c>
      <c r="C406" t="s">
        <v>454</v>
      </c>
      <c r="D406" t="s">
        <v>445</v>
      </c>
      <c r="E406">
        <v>20100</v>
      </c>
    </row>
    <row r="407" spans="1:5" x14ac:dyDescent="0.25">
      <c r="A407" t="s">
        <v>474</v>
      </c>
      <c r="B407" t="str">
        <f t="shared" si="4"/>
        <v>I0016M2013-Q4</v>
      </c>
      <c r="C407" t="s">
        <v>455</v>
      </c>
      <c r="D407" t="s">
        <v>436</v>
      </c>
      <c r="E407">
        <v>21700</v>
      </c>
    </row>
    <row r="408" spans="1:5" x14ac:dyDescent="0.25">
      <c r="A408" t="s">
        <v>474</v>
      </c>
      <c r="B408" t="str">
        <f t="shared" si="4"/>
        <v>I0016M2014-Q1</v>
      </c>
      <c r="C408" t="s">
        <v>456</v>
      </c>
      <c r="D408" t="s">
        <v>430</v>
      </c>
      <c r="E408">
        <v>24300</v>
      </c>
    </row>
    <row r="409" spans="1:5" x14ac:dyDescent="0.25">
      <c r="A409" t="s">
        <v>474</v>
      </c>
      <c r="B409" t="str">
        <f t="shared" si="4"/>
        <v>I0016M2014-Q2</v>
      </c>
      <c r="C409" t="s">
        <v>457</v>
      </c>
      <c r="D409" t="s">
        <v>433</v>
      </c>
      <c r="E409">
        <v>25900</v>
      </c>
    </row>
    <row r="410" spans="1:5" x14ac:dyDescent="0.25">
      <c r="A410" t="s">
        <v>474</v>
      </c>
      <c r="B410" t="str">
        <f t="shared" si="4"/>
        <v>I0016M2014-Q3</v>
      </c>
      <c r="C410" t="s">
        <v>458</v>
      </c>
      <c r="D410" t="s">
        <v>427</v>
      </c>
      <c r="E410">
        <v>27000</v>
      </c>
    </row>
    <row r="411" spans="1:5" x14ac:dyDescent="0.25">
      <c r="A411" t="s">
        <v>474</v>
      </c>
      <c r="B411" t="str">
        <f t="shared" si="4"/>
        <v>I0016M2014-Q4</v>
      </c>
      <c r="C411" t="s">
        <v>486</v>
      </c>
      <c r="D411" t="s">
        <v>557</v>
      </c>
      <c r="E411">
        <v>27270</v>
      </c>
    </row>
    <row r="412" spans="1:5" x14ac:dyDescent="0.25">
      <c r="A412" t="s">
        <v>474</v>
      </c>
      <c r="B412" t="str">
        <f t="shared" si="4"/>
        <v>I0016M2015-Q1</v>
      </c>
      <c r="C412" t="s">
        <v>558</v>
      </c>
      <c r="D412" t="s">
        <v>559</v>
      </c>
      <c r="E412">
        <v>27543</v>
      </c>
    </row>
    <row r="413" spans="1:5" x14ac:dyDescent="0.25">
      <c r="A413" t="s">
        <v>474</v>
      </c>
      <c r="B413" t="str">
        <f t="shared" si="4"/>
        <v>I0016M2015-Q2</v>
      </c>
      <c r="C413" t="s">
        <v>560</v>
      </c>
      <c r="D413" t="s">
        <v>561</v>
      </c>
      <c r="E413">
        <v>27405</v>
      </c>
    </row>
    <row r="414" spans="1:5" x14ac:dyDescent="0.25">
      <c r="A414" t="s">
        <v>474</v>
      </c>
      <c r="B414" t="str">
        <f t="shared" si="4"/>
        <v>I0016M2015-Q3</v>
      </c>
      <c r="C414" t="s">
        <v>562</v>
      </c>
      <c r="D414" t="s">
        <v>563</v>
      </c>
      <c r="E414">
        <v>27268</v>
      </c>
    </row>
    <row r="415" spans="1:5" x14ac:dyDescent="0.25">
      <c r="A415" t="s">
        <v>474</v>
      </c>
      <c r="B415" t="str">
        <f t="shared" si="4"/>
        <v>I0016M2015-Q4</v>
      </c>
      <c r="C415" t="s">
        <v>564</v>
      </c>
      <c r="D415" t="s">
        <v>565</v>
      </c>
      <c r="E415">
        <v>27200</v>
      </c>
    </row>
    <row r="416" spans="1:5" x14ac:dyDescent="0.25">
      <c r="A416" t="s">
        <v>474</v>
      </c>
      <c r="B416" t="str">
        <f t="shared" si="4"/>
        <v>I0016M2016-Q1</v>
      </c>
      <c r="C416" t="s">
        <v>629</v>
      </c>
      <c r="D416" t="s">
        <v>628</v>
      </c>
      <c r="E416">
        <v>27345</v>
      </c>
    </row>
    <row r="417" spans="1:6" x14ac:dyDescent="0.25">
      <c r="A417" t="s">
        <v>474</v>
      </c>
      <c r="B417" t="str">
        <f t="shared" si="4"/>
        <v>I0016M2016-Q2</v>
      </c>
      <c r="C417" t="s">
        <v>630</v>
      </c>
      <c r="D417" t="s">
        <v>631</v>
      </c>
      <c r="E417">
        <v>27482</v>
      </c>
    </row>
    <row r="418" spans="1:6" x14ac:dyDescent="0.25">
      <c r="A418" t="s">
        <v>474</v>
      </c>
      <c r="B418" t="str">
        <f t="shared" si="4"/>
        <v>I0016M2016-Q3</v>
      </c>
      <c r="C418" t="s">
        <v>632</v>
      </c>
      <c r="D418" t="s">
        <v>633</v>
      </c>
      <c r="E418">
        <v>27427</v>
      </c>
    </row>
    <row r="419" spans="1:6" x14ac:dyDescent="0.25">
      <c r="A419" t="s">
        <v>474</v>
      </c>
      <c r="B419" t="str">
        <f t="shared" si="4"/>
        <v>I0016M2016-Q4</v>
      </c>
      <c r="C419" t="s">
        <v>634</v>
      </c>
      <c r="D419" t="s">
        <v>635</v>
      </c>
      <c r="E419">
        <v>27537</v>
      </c>
    </row>
    <row r="420" spans="1:6" x14ac:dyDescent="0.25">
      <c r="A420" t="s">
        <v>474</v>
      </c>
      <c r="B420" t="str">
        <f t="shared" si="4"/>
        <v>I0016M2017-Q1</v>
      </c>
      <c r="C420" t="s">
        <v>636</v>
      </c>
      <c r="D420" t="s">
        <v>637</v>
      </c>
      <c r="E420">
        <v>27840</v>
      </c>
    </row>
    <row r="421" spans="1:6" x14ac:dyDescent="0.25">
      <c r="A421" t="s">
        <v>475</v>
      </c>
      <c r="B421" t="str">
        <f t="shared" si="4"/>
        <v>I0017M2009-01</v>
      </c>
      <c r="C421" t="s">
        <v>488</v>
      </c>
      <c r="D421" t="s">
        <v>69</v>
      </c>
      <c r="E421">
        <v>65</v>
      </c>
      <c r="F421" t="s">
        <v>205</v>
      </c>
    </row>
    <row r="422" spans="1:6" x14ac:dyDescent="0.25">
      <c r="A422" t="s">
        <v>475</v>
      </c>
      <c r="B422" t="str">
        <f t="shared" si="4"/>
        <v>I0017M2009-02</v>
      </c>
      <c r="C422" t="s">
        <v>494</v>
      </c>
      <c r="D422" t="s">
        <v>76</v>
      </c>
      <c r="E422">
        <v>67</v>
      </c>
    </row>
    <row r="423" spans="1:6" x14ac:dyDescent="0.25">
      <c r="A423" t="s">
        <v>475</v>
      </c>
      <c r="B423" t="str">
        <f t="shared" si="4"/>
        <v>I0017M2009-03</v>
      </c>
      <c r="C423" t="s">
        <v>500</v>
      </c>
      <c r="D423" t="s">
        <v>44</v>
      </c>
      <c r="E423">
        <v>65</v>
      </c>
    </row>
    <row r="424" spans="1:6" x14ac:dyDescent="0.25">
      <c r="A424" t="s">
        <v>475</v>
      </c>
      <c r="B424" t="str">
        <f t="shared" si="4"/>
        <v>I0017M2009-04</v>
      </c>
      <c r="C424" t="s">
        <v>506</v>
      </c>
      <c r="D424" t="s">
        <v>75</v>
      </c>
      <c r="E424">
        <v>68</v>
      </c>
    </row>
    <row r="425" spans="1:6" x14ac:dyDescent="0.25">
      <c r="A425" t="s">
        <v>475</v>
      </c>
      <c r="B425" t="str">
        <f t="shared" si="4"/>
        <v>I0017M2009-05</v>
      </c>
      <c r="C425" t="s">
        <v>512</v>
      </c>
      <c r="D425" t="s">
        <v>70</v>
      </c>
      <c r="E425">
        <v>70</v>
      </c>
    </row>
    <row r="426" spans="1:6" x14ac:dyDescent="0.25">
      <c r="A426" t="s">
        <v>475</v>
      </c>
      <c r="B426" t="str">
        <f t="shared" si="4"/>
        <v>I0017M2009-06</v>
      </c>
      <c r="C426" t="s">
        <v>518</v>
      </c>
      <c r="D426" t="s">
        <v>45</v>
      </c>
      <c r="E426">
        <v>72</v>
      </c>
    </row>
    <row r="427" spans="1:6" x14ac:dyDescent="0.25">
      <c r="A427" t="s">
        <v>475</v>
      </c>
      <c r="B427" t="str">
        <f t="shared" si="4"/>
        <v>I0017M2009-07</v>
      </c>
      <c r="C427" t="s">
        <v>524</v>
      </c>
      <c r="D427" t="s">
        <v>71</v>
      </c>
      <c r="E427">
        <v>74</v>
      </c>
    </row>
    <row r="428" spans="1:6" x14ac:dyDescent="0.25">
      <c r="A428" t="s">
        <v>475</v>
      </c>
      <c r="B428" t="str">
        <f t="shared" si="4"/>
        <v>I0017M2009-08</v>
      </c>
      <c r="C428" t="s">
        <v>530</v>
      </c>
      <c r="D428" t="s">
        <v>72</v>
      </c>
      <c r="E428">
        <v>74</v>
      </c>
    </row>
    <row r="429" spans="1:6" x14ac:dyDescent="0.25">
      <c r="A429" t="s">
        <v>475</v>
      </c>
      <c r="B429" t="str">
        <f t="shared" si="4"/>
        <v>I0017M2009-09</v>
      </c>
      <c r="C429" t="s">
        <v>536</v>
      </c>
      <c r="D429" t="s">
        <v>46</v>
      </c>
      <c r="E429">
        <v>75</v>
      </c>
    </row>
    <row r="430" spans="1:6" x14ac:dyDescent="0.25">
      <c r="A430" t="s">
        <v>475</v>
      </c>
      <c r="B430" t="str">
        <f t="shared" si="4"/>
        <v>I0017M2009-10</v>
      </c>
      <c r="C430" t="s">
        <v>542</v>
      </c>
      <c r="D430" t="s">
        <v>73</v>
      </c>
      <c r="E430">
        <v>77</v>
      </c>
    </row>
    <row r="431" spans="1:6" x14ac:dyDescent="0.25">
      <c r="A431" t="s">
        <v>475</v>
      </c>
      <c r="B431" t="str">
        <f t="shared" si="4"/>
        <v>I0017M2009-11</v>
      </c>
      <c r="C431" t="s">
        <v>547</v>
      </c>
      <c r="D431" t="s">
        <v>74</v>
      </c>
      <c r="E431">
        <v>78</v>
      </c>
    </row>
    <row r="432" spans="1:6" x14ac:dyDescent="0.25">
      <c r="A432" t="s">
        <v>475</v>
      </c>
      <c r="B432" t="str">
        <f t="shared" si="4"/>
        <v>I0017M2009-12</v>
      </c>
      <c r="C432" t="s">
        <v>552</v>
      </c>
      <c r="D432" t="s">
        <v>47</v>
      </c>
      <c r="E432">
        <v>81</v>
      </c>
    </row>
    <row r="433" spans="1:5" x14ac:dyDescent="0.25">
      <c r="A433" t="s">
        <v>475</v>
      </c>
      <c r="B433" t="str">
        <f t="shared" si="4"/>
        <v>I0017M2010-01</v>
      </c>
      <c r="C433" t="s">
        <v>489</v>
      </c>
      <c r="D433" t="s">
        <v>78</v>
      </c>
      <c r="E433">
        <v>80</v>
      </c>
    </row>
    <row r="434" spans="1:5" x14ac:dyDescent="0.25">
      <c r="A434" t="s">
        <v>475</v>
      </c>
      <c r="B434" t="str">
        <f t="shared" si="4"/>
        <v>I0017M2010-02</v>
      </c>
      <c r="C434" t="s">
        <v>495</v>
      </c>
      <c r="D434" t="s">
        <v>80</v>
      </c>
      <c r="E434">
        <v>82</v>
      </c>
    </row>
    <row r="435" spans="1:5" x14ac:dyDescent="0.25">
      <c r="A435" t="s">
        <v>475</v>
      </c>
      <c r="B435" t="str">
        <f t="shared" si="4"/>
        <v>I0017M2010-03</v>
      </c>
      <c r="C435" t="s">
        <v>501</v>
      </c>
      <c r="D435" t="s">
        <v>24</v>
      </c>
      <c r="E435">
        <v>82</v>
      </c>
    </row>
    <row r="436" spans="1:5" x14ac:dyDescent="0.25">
      <c r="A436" t="s">
        <v>475</v>
      </c>
      <c r="B436" t="str">
        <f t="shared" si="4"/>
        <v>I0017M2010-04</v>
      </c>
      <c r="C436" t="s">
        <v>507</v>
      </c>
      <c r="D436" t="s">
        <v>83</v>
      </c>
      <c r="E436">
        <v>81</v>
      </c>
    </row>
    <row r="437" spans="1:5" x14ac:dyDescent="0.25">
      <c r="A437" t="s">
        <v>475</v>
      </c>
      <c r="B437" t="str">
        <f t="shared" si="4"/>
        <v>I0017M2010-05</v>
      </c>
      <c r="C437" t="s">
        <v>513</v>
      </c>
      <c r="D437" t="s">
        <v>85</v>
      </c>
      <c r="E437">
        <v>81</v>
      </c>
    </row>
    <row r="438" spans="1:5" x14ac:dyDescent="0.25">
      <c r="A438" t="s">
        <v>475</v>
      </c>
      <c r="B438" t="str">
        <f t="shared" si="4"/>
        <v>I0017M2010-06</v>
      </c>
      <c r="C438" t="s">
        <v>519</v>
      </c>
      <c r="D438" t="s">
        <v>23</v>
      </c>
      <c r="E438">
        <v>80</v>
      </c>
    </row>
    <row r="439" spans="1:5" x14ac:dyDescent="0.25">
      <c r="A439" t="s">
        <v>475</v>
      </c>
      <c r="B439" t="str">
        <f t="shared" si="4"/>
        <v>I0017M2010-07</v>
      </c>
      <c r="C439" t="s">
        <v>525</v>
      </c>
      <c r="D439" t="s">
        <v>88</v>
      </c>
      <c r="E439">
        <v>79</v>
      </c>
    </row>
    <row r="440" spans="1:5" x14ac:dyDescent="0.25">
      <c r="A440" t="s">
        <v>475</v>
      </c>
      <c r="B440" t="str">
        <f t="shared" si="4"/>
        <v>I0017M2010-08</v>
      </c>
      <c r="C440" t="s">
        <v>531</v>
      </c>
      <c r="D440" t="s">
        <v>90</v>
      </c>
      <c r="E440">
        <v>82</v>
      </c>
    </row>
    <row r="441" spans="1:5" x14ac:dyDescent="0.25">
      <c r="A441" t="s">
        <v>475</v>
      </c>
      <c r="B441" t="str">
        <f t="shared" si="4"/>
        <v>I0017M2010-09</v>
      </c>
      <c r="C441" t="s">
        <v>537</v>
      </c>
      <c r="D441" t="s">
        <v>22</v>
      </c>
      <c r="E441">
        <v>82</v>
      </c>
    </row>
    <row r="442" spans="1:5" x14ac:dyDescent="0.25">
      <c r="A442" t="s">
        <v>475</v>
      </c>
      <c r="B442" t="str">
        <f t="shared" si="4"/>
        <v>I0017M2010-10</v>
      </c>
      <c r="C442" t="s">
        <v>543</v>
      </c>
      <c r="D442" t="s">
        <v>93</v>
      </c>
      <c r="E442">
        <v>83</v>
      </c>
    </row>
    <row r="443" spans="1:5" x14ac:dyDescent="0.25">
      <c r="A443" t="s">
        <v>475</v>
      </c>
      <c r="B443" t="str">
        <f t="shared" si="4"/>
        <v>I0017M2010-11</v>
      </c>
      <c r="C443" t="s">
        <v>548</v>
      </c>
      <c r="D443" t="s">
        <v>95</v>
      </c>
      <c r="E443">
        <v>83</v>
      </c>
    </row>
    <row r="444" spans="1:5" x14ac:dyDescent="0.25">
      <c r="A444" t="s">
        <v>475</v>
      </c>
      <c r="B444" t="str">
        <f t="shared" si="4"/>
        <v>I0017M2010-12</v>
      </c>
      <c r="C444" t="s">
        <v>553</v>
      </c>
      <c r="D444" t="s">
        <v>2</v>
      </c>
      <c r="E444">
        <v>83</v>
      </c>
    </row>
    <row r="445" spans="1:5" x14ac:dyDescent="0.25">
      <c r="A445" t="s">
        <v>475</v>
      </c>
      <c r="B445" t="str">
        <f t="shared" si="4"/>
        <v>I0017M2011-01</v>
      </c>
      <c r="C445" t="s">
        <v>490</v>
      </c>
      <c r="D445" t="s">
        <v>98</v>
      </c>
      <c r="E445">
        <v>83</v>
      </c>
    </row>
    <row r="446" spans="1:5" x14ac:dyDescent="0.25">
      <c r="A446" t="s">
        <v>475</v>
      </c>
      <c r="B446" t="str">
        <f t="shared" si="4"/>
        <v>I0017M2011-02</v>
      </c>
      <c r="C446" t="s">
        <v>496</v>
      </c>
      <c r="D446" t="s">
        <v>100</v>
      </c>
      <c r="E446">
        <v>85</v>
      </c>
    </row>
    <row r="447" spans="1:5" x14ac:dyDescent="0.25">
      <c r="A447" t="s">
        <v>475</v>
      </c>
      <c r="B447" t="str">
        <f t="shared" si="4"/>
        <v>I0017M2011-03</v>
      </c>
      <c r="C447" t="s">
        <v>502</v>
      </c>
      <c r="D447" t="s">
        <v>16</v>
      </c>
      <c r="E447">
        <v>85</v>
      </c>
    </row>
    <row r="448" spans="1:5" x14ac:dyDescent="0.25">
      <c r="A448" t="s">
        <v>475</v>
      </c>
      <c r="B448" t="str">
        <f t="shared" si="4"/>
        <v>I0017M2011-04</v>
      </c>
      <c r="C448" t="s">
        <v>508</v>
      </c>
      <c r="D448" t="s">
        <v>103</v>
      </c>
      <c r="E448">
        <v>86</v>
      </c>
    </row>
    <row r="449" spans="1:5" x14ac:dyDescent="0.25">
      <c r="A449" t="s">
        <v>475</v>
      </c>
      <c r="B449" t="str">
        <f t="shared" si="4"/>
        <v>I0017M2011-05</v>
      </c>
      <c r="C449" t="s">
        <v>514</v>
      </c>
      <c r="D449" t="s">
        <v>105</v>
      </c>
      <c r="E449">
        <v>86</v>
      </c>
    </row>
    <row r="450" spans="1:5" x14ac:dyDescent="0.25">
      <c r="A450" t="s">
        <v>475</v>
      </c>
      <c r="B450" t="str">
        <f t="shared" si="4"/>
        <v>I0017M2011-06</v>
      </c>
      <c r="C450" t="s">
        <v>520</v>
      </c>
      <c r="D450" t="s">
        <v>18</v>
      </c>
      <c r="E450">
        <v>88</v>
      </c>
    </row>
    <row r="451" spans="1:5" x14ac:dyDescent="0.25">
      <c r="A451" t="s">
        <v>475</v>
      </c>
      <c r="B451" t="str">
        <f t="shared" si="4"/>
        <v>I0017M2011-07</v>
      </c>
      <c r="C451" t="s">
        <v>526</v>
      </c>
      <c r="D451" t="s">
        <v>108</v>
      </c>
      <c r="E451">
        <v>88</v>
      </c>
    </row>
    <row r="452" spans="1:5" x14ac:dyDescent="0.25">
      <c r="A452" t="s">
        <v>475</v>
      </c>
      <c r="B452" t="str">
        <f t="shared" si="4"/>
        <v>I0017M2011-08</v>
      </c>
      <c r="C452" t="s">
        <v>532</v>
      </c>
      <c r="D452" t="s">
        <v>110</v>
      </c>
      <c r="E452">
        <v>89</v>
      </c>
    </row>
    <row r="453" spans="1:5" x14ac:dyDescent="0.25">
      <c r="A453" t="s">
        <v>475</v>
      </c>
      <c r="B453" t="str">
        <f t="shared" si="4"/>
        <v>I0017M2011-09</v>
      </c>
      <c r="C453" t="s">
        <v>538</v>
      </c>
      <c r="D453" t="s">
        <v>17</v>
      </c>
      <c r="E453">
        <v>90</v>
      </c>
    </row>
    <row r="454" spans="1:5" x14ac:dyDescent="0.25">
      <c r="A454" t="s">
        <v>475</v>
      </c>
      <c r="B454" t="str">
        <f t="shared" ref="B454:B557" si="5">CONCATENATE(A454,"M",C454)</f>
        <v>I0017M2011-10</v>
      </c>
      <c r="C454" t="s">
        <v>544</v>
      </c>
      <c r="D454" t="s">
        <v>113</v>
      </c>
      <c r="E454">
        <v>92</v>
      </c>
    </row>
    <row r="455" spans="1:5" x14ac:dyDescent="0.25">
      <c r="A455" t="s">
        <v>475</v>
      </c>
      <c r="B455" t="str">
        <f t="shared" si="5"/>
        <v>I0017M2011-11</v>
      </c>
      <c r="C455" t="s">
        <v>549</v>
      </c>
      <c r="D455" t="s">
        <v>115</v>
      </c>
      <c r="E455">
        <v>91</v>
      </c>
    </row>
    <row r="456" spans="1:5" x14ac:dyDescent="0.25">
      <c r="A456" t="s">
        <v>475</v>
      </c>
      <c r="B456" t="str">
        <f t="shared" si="5"/>
        <v>I0017M2011-12</v>
      </c>
      <c r="C456" t="s">
        <v>554</v>
      </c>
      <c r="D456" t="s">
        <v>3</v>
      </c>
      <c r="E456">
        <v>92</v>
      </c>
    </row>
    <row r="457" spans="1:5" x14ac:dyDescent="0.25">
      <c r="A457" t="s">
        <v>475</v>
      </c>
      <c r="B457" t="str">
        <f t="shared" si="5"/>
        <v>I0017M2012-01</v>
      </c>
      <c r="C457" t="s">
        <v>491</v>
      </c>
      <c r="D457" t="s">
        <v>421</v>
      </c>
      <c r="E457">
        <v>91</v>
      </c>
    </row>
    <row r="458" spans="1:5" x14ac:dyDescent="0.25">
      <c r="A458" t="s">
        <v>475</v>
      </c>
      <c r="B458" t="str">
        <f t="shared" si="5"/>
        <v>I0017M2012-02</v>
      </c>
      <c r="C458" t="s">
        <v>497</v>
      </c>
      <c r="D458" t="s">
        <v>422</v>
      </c>
      <c r="E458">
        <v>90</v>
      </c>
    </row>
    <row r="459" spans="1:5" x14ac:dyDescent="0.25">
      <c r="A459" t="s">
        <v>475</v>
      </c>
      <c r="B459" t="str">
        <f t="shared" si="5"/>
        <v>I0017M2012-03</v>
      </c>
      <c r="C459" t="s">
        <v>503</v>
      </c>
      <c r="D459" t="s">
        <v>415</v>
      </c>
      <c r="E459">
        <v>91</v>
      </c>
    </row>
    <row r="460" spans="1:5" x14ac:dyDescent="0.25">
      <c r="A460" t="s">
        <v>475</v>
      </c>
      <c r="B460" t="str">
        <f t="shared" si="5"/>
        <v>I0017M2012-04</v>
      </c>
      <c r="C460" t="s">
        <v>509</v>
      </c>
      <c r="D460" t="s">
        <v>423</v>
      </c>
      <c r="E460">
        <v>92</v>
      </c>
    </row>
    <row r="461" spans="1:5" x14ac:dyDescent="0.25">
      <c r="A461" t="s">
        <v>475</v>
      </c>
      <c r="B461" t="str">
        <f t="shared" si="5"/>
        <v>I0017M2012-05</v>
      </c>
      <c r="C461" t="s">
        <v>515</v>
      </c>
      <c r="D461" t="s">
        <v>424</v>
      </c>
      <c r="E461">
        <v>92</v>
      </c>
    </row>
    <row r="462" spans="1:5" x14ac:dyDescent="0.25">
      <c r="A462" t="s">
        <v>475</v>
      </c>
      <c r="B462" t="str">
        <f t="shared" si="5"/>
        <v>I0017M2012-06</v>
      </c>
      <c r="C462" t="s">
        <v>521</v>
      </c>
      <c r="D462" t="s">
        <v>416</v>
      </c>
      <c r="E462">
        <v>93</v>
      </c>
    </row>
    <row r="463" spans="1:5" x14ac:dyDescent="0.25">
      <c r="A463" t="s">
        <v>475</v>
      </c>
      <c r="B463" t="str">
        <f t="shared" si="5"/>
        <v>I0017M2012-07</v>
      </c>
      <c r="C463" t="s">
        <v>527</v>
      </c>
      <c r="D463" t="s">
        <v>425</v>
      </c>
      <c r="E463">
        <v>92</v>
      </c>
    </row>
    <row r="464" spans="1:5" x14ac:dyDescent="0.25">
      <c r="A464" t="s">
        <v>475</v>
      </c>
      <c r="B464" t="str">
        <f t="shared" si="5"/>
        <v>I0017M2012-08</v>
      </c>
      <c r="C464" t="s">
        <v>533</v>
      </c>
      <c r="D464" t="s">
        <v>426</v>
      </c>
      <c r="E464">
        <v>94</v>
      </c>
    </row>
    <row r="465" spans="1:5" x14ac:dyDescent="0.25">
      <c r="A465" t="s">
        <v>475</v>
      </c>
      <c r="B465" t="str">
        <f t="shared" si="5"/>
        <v>I0017M2012-09</v>
      </c>
      <c r="C465" t="s">
        <v>539</v>
      </c>
      <c r="D465" t="s">
        <v>417</v>
      </c>
      <c r="E465">
        <v>94</v>
      </c>
    </row>
    <row r="466" spans="1:5" x14ac:dyDescent="0.25">
      <c r="A466" t="s">
        <v>475</v>
      </c>
      <c r="B466" t="str">
        <f t="shared" si="5"/>
        <v>I0017M2012-10</v>
      </c>
      <c r="C466" t="s">
        <v>545</v>
      </c>
      <c r="D466" t="s">
        <v>448</v>
      </c>
      <c r="E466">
        <v>94</v>
      </c>
    </row>
    <row r="467" spans="1:5" x14ac:dyDescent="0.25">
      <c r="A467" t="s">
        <v>475</v>
      </c>
      <c r="B467" t="str">
        <f t="shared" si="5"/>
        <v>I0017M2012-11</v>
      </c>
      <c r="C467" t="s">
        <v>550</v>
      </c>
      <c r="D467" t="s">
        <v>449</v>
      </c>
      <c r="E467">
        <v>93</v>
      </c>
    </row>
    <row r="468" spans="1:5" x14ac:dyDescent="0.25">
      <c r="A468" t="s">
        <v>475</v>
      </c>
      <c r="B468" t="str">
        <f t="shared" si="5"/>
        <v>I0017M2012-12</v>
      </c>
      <c r="C468" t="s">
        <v>555</v>
      </c>
      <c r="D468" t="s">
        <v>450</v>
      </c>
      <c r="E468">
        <v>94</v>
      </c>
    </row>
    <row r="469" spans="1:5" x14ac:dyDescent="0.25">
      <c r="A469" t="s">
        <v>475</v>
      </c>
      <c r="B469" t="str">
        <f t="shared" si="5"/>
        <v>I0017M2013-01</v>
      </c>
      <c r="C469" t="s">
        <v>492</v>
      </c>
      <c r="D469" t="s">
        <v>437</v>
      </c>
      <c r="E469">
        <v>95</v>
      </c>
    </row>
    <row r="470" spans="1:5" x14ac:dyDescent="0.25">
      <c r="A470" t="s">
        <v>475</v>
      </c>
      <c r="B470" t="str">
        <f t="shared" si="5"/>
        <v>I0017M2013-02</v>
      </c>
      <c r="C470" t="s">
        <v>498</v>
      </c>
      <c r="D470" t="s">
        <v>438</v>
      </c>
      <c r="E470">
        <v>94</v>
      </c>
    </row>
    <row r="471" spans="1:5" x14ac:dyDescent="0.25">
      <c r="A471" t="s">
        <v>475</v>
      </c>
      <c r="B471" t="str">
        <f t="shared" si="5"/>
        <v>I0017M2013-03</v>
      </c>
      <c r="C471" t="s">
        <v>504</v>
      </c>
      <c r="D471" t="s">
        <v>439</v>
      </c>
      <c r="E471">
        <v>95</v>
      </c>
    </row>
    <row r="472" spans="1:5" x14ac:dyDescent="0.25">
      <c r="A472" t="s">
        <v>475</v>
      </c>
      <c r="B472" t="str">
        <f t="shared" si="5"/>
        <v>I0017M2013-04</v>
      </c>
      <c r="C472" t="s">
        <v>510</v>
      </c>
      <c r="D472" t="s">
        <v>440</v>
      </c>
      <c r="E472">
        <v>94</v>
      </c>
    </row>
    <row r="473" spans="1:5" x14ac:dyDescent="0.25">
      <c r="A473" t="s">
        <v>475</v>
      </c>
      <c r="B473" t="str">
        <f t="shared" si="5"/>
        <v>I0017M2013-05</v>
      </c>
      <c r="C473" t="s">
        <v>516</v>
      </c>
      <c r="D473" t="s">
        <v>441</v>
      </c>
      <c r="E473">
        <v>97</v>
      </c>
    </row>
    <row r="474" spans="1:5" x14ac:dyDescent="0.25">
      <c r="A474" t="s">
        <v>475</v>
      </c>
      <c r="B474" t="str">
        <f t="shared" si="5"/>
        <v>I0017M2013-06</v>
      </c>
      <c r="C474" t="s">
        <v>522</v>
      </c>
      <c r="D474" t="s">
        <v>442</v>
      </c>
      <c r="E474">
        <v>96</v>
      </c>
    </row>
    <row r="475" spans="1:5" x14ac:dyDescent="0.25">
      <c r="A475" t="s">
        <v>475</v>
      </c>
      <c r="B475" t="str">
        <f t="shared" si="5"/>
        <v>I0017M2013-07</v>
      </c>
      <c r="C475" t="s">
        <v>528</v>
      </c>
      <c r="D475" t="s">
        <v>443</v>
      </c>
      <c r="E475">
        <v>96</v>
      </c>
    </row>
    <row r="476" spans="1:5" x14ac:dyDescent="0.25">
      <c r="A476" t="s">
        <v>475</v>
      </c>
      <c r="B476" t="str">
        <f t="shared" si="5"/>
        <v>I0017M2013-08</v>
      </c>
      <c r="C476" t="s">
        <v>534</v>
      </c>
      <c r="D476" t="s">
        <v>444</v>
      </c>
      <c r="E476">
        <v>97</v>
      </c>
    </row>
    <row r="477" spans="1:5" x14ac:dyDescent="0.25">
      <c r="A477" t="s">
        <v>475</v>
      </c>
      <c r="B477" t="str">
        <f t="shared" si="5"/>
        <v>I0017M2013-09</v>
      </c>
      <c r="C477" t="s">
        <v>540</v>
      </c>
      <c r="D477" t="s">
        <v>445</v>
      </c>
      <c r="E477">
        <v>96</v>
      </c>
    </row>
    <row r="478" spans="1:5" x14ac:dyDescent="0.25">
      <c r="A478" t="s">
        <v>475</v>
      </c>
      <c r="B478" t="str">
        <f t="shared" si="5"/>
        <v>I0017M2013-10</v>
      </c>
      <c r="C478" t="s">
        <v>546</v>
      </c>
      <c r="D478" t="s">
        <v>446</v>
      </c>
      <c r="E478">
        <v>97</v>
      </c>
    </row>
    <row r="479" spans="1:5" x14ac:dyDescent="0.25">
      <c r="A479" t="s">
        <v>475</v>
      </c>
      <c r="B479" t="str">
        <f t="shared" si="5"/>
        <v>I0017M2013-11</v>
      </c>
      <c r="C479" t="s">
        <v>551</v>
      </c>
      <c r="D479" t="s">
        <v>447</v>
      </c>
      <c r="E479">
        <v>97</v>
      </c>
    </row>
    <row r="480" spans="1:5" x14ac:dyDescent="0.25">
      <c r="A480" t="s">
        <v>475</v>
      </c>
      <c r="B480" t="str">
        <f t="shared" si="5"/>
        <v>I0017M2013-12</v>
      </c>
      <c r="C480" t="s">
        <v>556</v>
      </c>
      <c r="D480" t="s">
        <v>436</v>
      </c>
      <c r="E480">
        <v>96</v>
      </c>
    </row>
    <row r="481" spans="1:5" x14ac:dyDescent="0.25">
      <c r="A481" t="s">
        <v>475</v>
      </c>
      <c r="B481" t="str">
        <f t="shared" si="5"/>
        <v>I0017M2014-01</v>
      </c>
      <c r="C481" t="s">
        <v>493</v>
      </c>
      <c r="D481" t="s">
        <v>428</v>
      </c>
      <c r="E481">
        <v>96</v>
      </c>
    </row>
    <row r="482" spans="1:5" x14ac:dyDescent="0.25">
      <c r="A482" t="s">
        <v>475</v>
      </c>
      <c r="B482" t="str">
        <f t="shared" si="5"/>
        <v>I0017M2014-02</v>
      </c>
      <c r="C482" t="s">
        <v>499</v>
      </c>
      <c r="D482" t="s">
        <v>429</v>
      </c>
      <c r="E482">
        <v>95</v>
      </c>
    </row>
    <row r="483" spans="1:5" x14ac:dyDescent="0.25">
      <c r="A483" t="s">
        <v>475</v>
      </c>
      <c r="B483" t="str">
        <f t="shared" si="5"/>
        <v>I0017M2014-03</v>
      </c>
      <c r="C483" t="s">
        <v>505</v>
      </c>
      <c r="D483" t="s">
        <v>430</v>
      </c>
      <c r="E483">
        <v>95</v>
      </c>
    </row>
    <row r="484" spans="1:5" x14ac:dyDescent="0.25">
      <c r="A484" t="s">
        <v>475</v>
      </c>
      <c r="B484" t="str">
        <f t="shared" si="5"/>
        <v>I0017M2014-04</v>
      </c>
      <c r="C484" t="s">
        <v>511</v>
      </c>
      <c r="D484" t="s">
        <v>431</v>
      </c>
      <c r="E484">
        <v>96</v>
      </c>
    </row>
    <row r="485" spans="1:5" x14ac:dyDescent="0.25">
      <c r="A485" t="s">
        <v>475</v>
      </c>
      <c r="B485" t="str">
        <f t="shared" si="5"/>
        <v>I0017M2014-05</v>
      </c>
      <c r="C485" t="s">
        <v>517</v>
      </c>
      <c r="D485" t="s">
        <v>432</v>
      </c>
      <c r="E485">
        <v>95</v>
      </c>
    </row>
    <row r="486" spans="1:5" x14ac:dyDescent="0.25">
      <c r="A486" t="s">
        <v>475</v>
      </c>
      <c r="B486" t="str">
        <f t="shared" si="5"/>
        <v>I0017M2014-06</v>
      </c>
      <c r="C486" t="s">
        <v>523</v>
      </c>
      <c r="D486" t="s">
        <v>433</v>
      </c>
      <c r="E486">
        <v>96</v>
      </c>
    </row>
    <row r="487" spans="1:5" x14ac:dyDescent="0.25">
      <c r="A487" t="s">
        <v>475</v>
      </c>
      <c r="B487" t="str">
        <f t="shared" si="5"/>
        <v>I0017M2014-07</v>
      </c>
      <c r="C487" t="s">
        <v>529</v>
      </c>
      <c r="D487" t="s">
        <v>434</v>
      </c>
      <c r="E487">
        <v>95</v>
      </c>
    </row>
    <row r="488" spans="1:5" x14ac:dyDescent="0.25">
      <c r="A488" t="s">
        <v>475</v>
      </c>
      <c r="B488" t="str">
        <f t="shared" si="5"/>
        <v>I0017M2014-08</v>
      </c>
      <c r="C488" t="s">
        <v>535</v>
      </c>
      <c r="D488" t="s">
        <v>435</v>
      </c>
      <c r="E488">
        <v>97</v>
      </c>
    </row>
    <row r="489" spans="1:5" x14ac:dyDescent="0.25">
      <c r="A489" t="s">
        <v>475</v>
      </c>
      <c r="B489" t="str">
        <f t="shared" si="5"/>
        <v>I0017M2014-09</v>
      </c>
      <c r="C489" t="s">
        <v>541</v>
      </c>
      <c r="D489" t="s">
        <v>427</v>
      </c>
      <c r="E489">
        <v>97</v>
      </c>
    </row>
    <row r="490" spans="1:5" x14ac:dyDescent="0.25">
      <c r="A490" t="s">
        <v>475</v>
      </c>
      <c r="B490" t="str">
        <f t="shared" si="5"/>
        <v>I0017M2014-10</v>
      </c>
      <c r="C490" t="s">
        <v>566</v>
      </c>
      <c r="D490" t="s">
        <v>569</v>
      </c>
      <c r="E490">
        <v>97.5</v>
      </c>
    </row>
    <row r="491" spans="1:5" x14ac:dyDescent="0.25">
      <c r="A491" t="s">
        <v>475</v>
      </c>
      <c r="B491" t="str">
        <f t="shared" si="5"/>
        <v>I0017M2014-11</v>
      </c>
      <c r="C491" t="s">
        <v>567</v>
      </c>
      <c r="D491" t="s">
        <v>570</v>
      </c>
      <c r="E491">
        <v>98</v>
      </c>
    </row>
    <row r="492" spans="1:5" x14ac:dyDescent="0.25">
      <c r="A492" t="s">
        <v>475</v>
      </c>
      <c r="B492" t="str">
        <f t="shared" si="5"/>
        <v>I0017M2014-12</v>
      </c>
      <c r="C492" t="s">
        <v>568</v>
      </c>
      <c r="D492" t="s">
        <v>557</v>
      </c>
      <c r="E492">
        <v>97.5</v>
      </c>
    </row>
    <row r="493" spans="1:5" x14ac:dyDescent="0.25">
      <c r="A493" t="s">
        <v>475</v>
      </c>
      <c r="B493" t="str">
        <f t="shared" si="5"/>
        <v>I0017M2015-01</v>
      </c>
      <c r="C493" t="s">
        <v>571</v>
      </c>
      <c r="D493" t="s">
        <v>572</v>
      </c>
      <c r="E493">
        <v>98</v>
      </c>
    </row>
    <row r="494" spans="1:5" x14ac:dyDescent="0.25">
      <c r="A494" t="s">
        <v>475</v>
      </c>
      <c r="B494" t="str">
        <f t="shared" si="5"/>
        <v>I0017M2015-02</v>
      </c>
      <c r="C494" t="s">
        <v>573</v>
      </c>
      <c r="D494" t="s">
        <v>574</v>
      </c>
      <c r="E494">
        <v>98.5</v>
      </c>
    </row>
    <row r="495" spans="1:5" x14ac:dyDescent="0.25">
      <c r="A495" t="s">
        <v>475</v>
      </c>
      <c r="B495" t="str">
        <f t="shared" si="5"/>
        <v>I0017M2015-03</v>
      </c>
      <c r="C495" t="s">
        <v>575</v>
      </c>
      <c r="D495" t="s">
        <v>559</v>
      </c>
      <c r="E495">
        <v>98</v>
      </c>
    </row>
    <row r="496" spans="1:5" x14ac:dyDescent="0.25">
      <c r="A496" t="s">
        <v>475</v>
      </c>
      <c r="B496" t="str">
        <f t="shared" si="5"/>
        <v>I0017M2015-04</v>
      </c>
      <c r="C496" t="s">
        <v>576</v>
      </c>
      <c r="D496" t="s">
        <v>577</v>
      </c>
      <c r="E496">
        <v>97.5</v>
      </c>
    </row>
    <row r="497" spans="1:5" x14ac:dyDescent="0.25">
      <c r="A497" t="s">
        <v>475</v>
      </c>
      <c r="B497" t="str">
        <f t="shared" si="5"/>
        <v>I0017M2015-05</v>
      </c>
      <c r="C497" t="s">
        <v>578</v>
      </c>
      <c r="D497" t="s">
        <v>579</v>
      </c>
      <c r="E497">
        <v>98</v>
      </c>
    </row>
    <row r="498" spans="1:5" x14ac:dyDescent="0.25">
      <c r="A498" t="s">
        <v>475</v>
      </c>
      <c r="B498" t="str">
        <f t="shared" si="5"/>
        <v>I0017M2015-06</v>
      </c>
      <c r="C498" t="s">
        <v>580</v>
      </c>
      <c r="D498" t="s">
        <v>561</v>
      </c>
      <c r="E498">
        <v>98.5</v>
      </c>
    </row>
    <row r="499" spans="1:5" x14ac:dyDescent="0.25">
      <c r="A499" t="s">
        <v>475</v>
      </c>
      <c r="B499" t="str">
        <f t="shared" si="5"/>
        <v>I0017M2015-07</v>
      </c>
      <c r="C499" t="s">
        <v>581</v>
      </c>
      <c r="D499" t="s">
        <v>582</v>
      </c>
      <c r="E499">
        <v>99</v>
      </c>
    </row>
    <row r="500" spans="1:5" x14ac:dyDescent="0.25">
      <c r="A500" t="s">
        <v>475</v>
      </c>
      <c r="B500" t="str">
        <f t="shared" si="5"/>
        <v>I0017M2015-08</v>
      </c>
      <c r="C500" t="s">
        <v>583</v>
      </c>
      <c r="D500" t="s">
        <v>584</v>
      </c>
      <c r="E500">
        <v>96</v>
      </c>
    </row>
    <row r="501" spans="1:5" x14ac:dyDescent="0.25">
      <c r="A501" t="s">
        <v>475</v>
      </c>
      <c r="B501" t="str">
        <f t="shared" si="5"/>
        <v>I0017M2015-09</v>
      </c>
      <c r="C501" t="s">
        <v>585</v>
      </c>
      <c r="D501" t="s">
        <v>586</v>
      </c>
      <c r="E501">
        <v>97</v>
      </c>
    </row>
    <row r="502" spans="1:5" x14ac:dyDescent="0.25">
      <c r="A502" t="s">
        <v>475</v>
      </c>
      <c r="B502" t="str">
        <f t="shared" si="5"/>
        <v>I0017M2015-10</v>
      </c>
      <c r="C502" t="s">
        <v>587</v>
      </c>
      <c r="D502" t="s">
        <v>563</v>
      </c>
      <c r="E502">
        <v>98</v>
      </c>
    </row>
    <row r="503" spans="1:5" x14ac:dyDescent="0.25">
      <c r="A503" t="s">
        <v>475</v>
      </c>
      <c r="B503" t="str">
        <f t="shared" si="5"/>
        <v>I0017M2015-11</v>
      </c>
      <c r="C503" t="s">
        <v>588</v>
      </c>
      <c r="D503" t="s">
        <v>589</v>
      </c>
      <c r="E503">
        <v>99</v>
      </c>
    </row>
    <row r="504" spans="1:5" x14ac:dyDescent="0.25">
      <c r="A504" t="s">
        <v>475</v>
      </c>
      <c r="B504" t="str">
        <f t="shared" si="5"/>
        <v>I0017M2015-12</v>
      </c>
      <c r="C504" t="s">
        <v>590</v>
      </c>
      <c r="D504" t="s">
        <v>565</v>
      </c>
      <c r="E504">
        <v>99.5</v>
      </c>
    </row>
    <row r="505" spans="1:5" x14ac:dyDescent="0.25">
      <c r="A505" t="s">
        <v>475</v>
      </c>
      <c r="B505" t="str">
        <f t="shared" si="5"/>
        <v>I0017M2016-01</v>
      </c>
      <c r="C505" t="s">
        <v>622</v>
      </c>
      <c r="D505" t="s">
        <v>623</v>
      </c>
      <c r="E505">
        <v>99.2</v>
      </c>
    </row>
    <row r="506" spans="1:5" x14ac:dyDescent="0.25">
      <c r="A506" t="s">
        <v>475</v>
      </c>
      <c r="B506" t="str">
        <f t="shared" si="5"/>
        <v>I0017M2016-02</v>
      </c>
      <c r="C506" t="s">
        <v>624</v>
      </c>
      <c r="D506" t="s">
        <v>625</v>
      </c>
      <c r="E506">
        <v>99.3</v>
      </c>
    </row>
    <row r="507" spans="1:5" x14ac:dyDescent="0.25">
      <c r="A507" t="s">
        <v>475</v>
      </c>
      <c r="B507" t="str">
        <f t="shared" si="5"/>
        <v>I0017M2016-03</v>
      </c>
      <c r="C507" t="s">
        <v>626</v>
      </c>
      <c r="D507" t="s">
        <v>628</v>
      </c>
      <c r="E507">
        <v>99.5</v>
      </c>
    </row>
    <row r="508" spans="1:5" x14ac:dyDescent="0.25">
      <c r="A508" t="s">
        <v>475</v>
      </c>
      <c r="B508" t="str">
        <f t="shared" si="5"/>
        <v>I0017M2016-04</v>
      </c>
      <c r="C508" t="s">
        <v>638</v>
      </c>
      <c r="D508" t="s">
        <v>639</v>
      </c>
      <c r="E508">
        <v>99.6</v>
      </c>
    </row>
    <row r="509" spans="1:5" x14ac:dyDescent="0.25">
      <c r="A509" t="s">
        <v>475</v>
      </c>
      <c r="B509" t="str">
        <f t="shared" si="5"/>
        <v>I0017M2016-05</v>
      </c>
      <c r="C509" t="s">
        <v>640</v>
      </c>
      <c r="D509" t="s">
        <v>641</v>
      </c>
      <c r="E509">
        <v>99.4</v>
      </c>
    </row>
    <row r="510" spans="1:5" x14ac:dyDescent="0.25">
      <c r="A510" t="s">
        <v>475</v>
      </c>
      <c r="B510" t="str">
        <f t="shared" si="5"/>
        <v>I0017M2016-06</v>
      </c>
      <c r="C510" t="s">
        <v>642</v>
      </c>
      <c r="D510" t="s">
        <v>631</v>
      </c>
      <c r="E510">
        <v>99.2</v>
      </c>
    </row>
    <row r="511" spans="1:5" x14ac:dyDescent="0.25">
      <c r="A511" t="s">
        <v>475</v>
      </c>
      <c r="B511" t="str">
        <f t="shared" si="5"/>
        <v>I0017M2016-07</v>
      </c>
      <c r="C511" t="s">
        <v>643</v>
      </c>
      <c r="D511" t="s">
        <v>644</v>
      </c>
      <c r="E511">
        <v>99.3</v>
      </c>
    </row>
    <row r="512" spans="1:5" x14ac:dyDescent="0.25">
      <c r="A512" t="s">
        <v>475</v>
      </c>
      <c r="B512" t="str">
        <f t="shared" si="5"/>
        <v>I0017M2016-08</v>
      </c>
      <c r="C512" t="s">
        <v>645</v>
      </c>
      <c r="D512" t="s">
        <v>646</v>
      </c>
      <c r="E512">
        <v>98.8</v>
      </c>
    </row>
    <row r="513" spans="1:6" x14ac:dyDescent="0.25">
      <c r="A513" t="s">
        <v>475</v>
      </c>
      <c r="B513" t="str">
        <f t="shared" si="5"/>
        <v>I0017M2016-09</v>
      </c>
      <c r="C513" t="s">
        <v>647</v>
      </c>
      <c r="D513" t="s">
        <v>648</v>
      </c>
      <c r="E513">
        <v>99.3</v>
      </c>
    </row>
    <row r="514" spans="1:6" x14ac:dyDescent="0.25">
      <c r="A514" t="s">
        <v>475</v>
      </c>
      <c r="B514" t="str">
        <f t="shared" si="5"/>
        <v>I0017M2016-10</v>
      </c>
      <c r="C514" t="s">
        <v>649</v>
      </c>
      <c r="D514" t="s">
        <v>633</v>
      </c>
      <c r="E514">
        <v>99.2</v>
      </c>
    </row>
    <row r="515" spans="1:6" x14ac:dyDescent="0.25">
      <c r="A515" t="s">
        <v>475</v>
      </c>
      <c r="B515" t="str">
        <f t="shared" si="5"/>
        <v>I0017M2016-11</v>
      </c>
      <c r="C515" t="s">
        <v>650</v>
      </c>
      <c r="D515" t="s">
        <v>651</v>
      </c>
      <c r="E515">
        <v>99</v>
      </c>
    </row>
    <row r="516" spans="1:6" x14ac:dyDescent="0.25">
      <c r="A516" t="s">
        <v>475</v>
      </c>
      <c r="B516" t="str">
        <f t="shared" si="5"/>
        <v>I0017M2016-12</v>
      </c>
      <c r="C516" t="s">
        <v>652</v>
      </c>
      <c r="D516" t="s">
        <v>635</v>
      </c>
      <c r="E516">
        <v>98.6</v>
      </c>
    </row>
    <row r="517" spans="1:6" x14ac:dyDescent="0.25">
      <c r="A517" t="s">
        <v>475</v>
      </c>
      <c r="B517" t="str">
        <f t="shared" si="5"/>
        <v>I0017M2017-01</v>
      </c>
      <c r="C517" t="s">
        <v>653</v>
      </c>
      <c r="D517" t="s">
        <v>654</v>
      </c>
      <c r="E517">
        <v>98.9</v>
      </c>
    </row>
    <row r="518" spans="1:6" x14ac:dyDescent="0.25">
      <c r="A518" t="s">
        <v>475</v>
      </c>
      <c r="B518" t="str">
        <f t="shared" si="5"/>
        <v>I0017M2017-02</v>
      </c>
      <c r="C518" t="s">
        <v>655</v>
      </c>
      <c r="D518" t="s">
        <v>656</v>
      </c>
      <c r="E518">
        <v>98.7</v>
      </c>
    </row>
    <row r="519" spans="1:6" x14ac:dyDescent="0.25">
      <c r="A519" t="s">
        <v>475</v>
      </c>
      <c r="B519" t="str">
        <f t="shared" si="5"/>
        <v>I0017M2017-03</v>
      </c>
      <c r="C519" t="s">
        <v>657</v>
      </c>
      <c r="D519" t="s">
        <v>637</v>
      </c>
      <c r="E519">
        <v>99</v>
      </c>
    </row>
    <row r="520" spans="1:6" x14ac:dyDescent="0.25">
      <c r="A520" t="s">
        <v>476</v>
      </c>
      <c r="B520" t="str">
        <f t="shared" si="5"/>
        <v>I0018M2009-Q1</v>
      </c>
      <c r="C520" t="s">
        <v>41</v>
      </c>
      <c r="D520" t="s">
        <v>44</v>
      </c>
      <c r="E520">
        <v>16</v>
      </c>
      <c r="F520" t="s">
        <v>155</v>
      </c>
    </row>
    <row r="521" spans="1:6" x14ac:dyDescent="0.25">
      <c r="A521" t="s">
        <v>476</v>
      </c>
      <c r="B521" t="str">
        <f t="shared" si="5"/>
        <v>I0018M2009-Q2</v>
      </c>
      <c r="C521" t="s">
        <v>42</v>
      </c>
      <c r="D521" t="s">
        <v>45</v>
      </c>
      <c r="E521">
        <v>12</v>
      </c>
    </row>
    <row r="522" spans="1:6" x14ac:dyDescent="0.25">
      <c r="A522" t="s">
        <v>476</v>
      </c>
      <c r="B522" t="str">
        <f t="shared" si="5"/>
        <v>I0018M2009-Q3</v>
      </c>
      <c r="C522" t="s">
        <v>43</v>
      </c>
      <c r="D522" t="s">
        <v>46</v>
      </c>
      <c r="E522">
        <v>13</v>
      </c>
    </row>
    <row r="523" spans="1:6" x14ac:dyDescent="0.25">
      <c r="A523" t="s">
        <v>476</v>
      </c>
      <c r="B523" t="str">
        <f t="shared" si="5"/>
        <v>I0018M2009-Q4</v>
      </c>
      <c r="C523" t="s">
        <v>40</v>
      </c>
      <c r="D523" t="s">
        <v>47</v>
      </c>
      <c r="E523">
        <v>10</v>
      </c>
    </row>
    <row r="524" spans="1:6" x14ac:dyDescent="0.25">
      <c r="A524" t="s">
        <v>476</v>
      </c>
      <c r="B524" t="str">
        <f t="shared" si="5"/>
        <v>I0018M2010-Q1</v>
      </c>
      <c r="C524" t="s">
        <v>19</v>
      </c>
      <c r="D524" t="s">
        <v>24</v>
      </c>
      <c r="E524">
        <v>11</v>
      </c>
    </row>
    <row r="525" spans="1:6" x14ac:dyDescent="0.25">
      <c r="A525" t="s">
        <v>476</v>
      </c>
      <c r="B525" t="str">
        <f t="shared" si="5"/>
        <v>I0018M2010-Q2</v>
      </c>
      <c r="C525" t="s">
        <v>20</v>
      </c>
      <c r="D525" t="s">
        <v>23</v>
      </c>
      <c r="E525">
        <v>10</v>
      </c>
    </row>
    <row r="526" spans="1:6" x14ac:dyDescent="0.25">
      <c r="A526" t="s">
        <v>476</v>
      </c>
      <c r="B526" t="str">
        <f t="shared" si="5"/>
        <v>I0018M2010-Q3</v>
      </c>
      <c r="C526" t="s">
        <v>21</v>
      </c>
      <c r="D526" t="s">
        <v>22</v>
      </c>
      <c r="E526">
        <v>9</v>
      </c>
    </row>
    <row r="527" spans="1:6" x14ac:dyDescent="0.25">
      <c r="A527" t="s">
        <v>476</v>
      </c>
      <c r="B527" t="str">
        <f t="shared" si="5"/>
        <v>I0018M2010-Q4</v>
      </c>
      <c r="C527" t="s">
        <v>11</v>
      </c>
      <c r="D527" t="s">
        <v>2</v>
      </c>
      <c r="E527">
        <v>9.5</v>
      </c>
    </row>
    <row r="528" spans="1:6" x14ac:dyDescent="0.25">
      <c r="A528" t="s">
        <v>476</v>
      </c>
      <c r="B528" t="str">
        <f t="shared" si="5"/>
        <v>I0018M2011-Q1</v>
      </c>
      <c r="C528" t="s">
        <v>12</v>
      </c>
      <c r="D528" t="s">
        <v>16</v>
      </c>
      <c r="E528">
        <v>8.5</v>
      </c>
    </row>
    <row r="529" spans="1:5" x14ac:dyDescent="0.25">
      <c r="A529" t="s">
        <v>476</v>
      </c>
      <c r="B529" t="str">
        <f t="shared" si="5"/>
        <v>I0018M2011-Q2</v>
      </c>
      <c r="C529" t="s">
        <v>13</v>
      </c>
      <c r="D529" t="s">
        <v>18</v>
      </c>
      <c r="E529">
        <v>8</v>
      </c>
    </row>
    <row r="530" spans="1:5" x14ac:dyDescent="0.25">
      <c r="A530" t="s">
        <v>476</v>
      </c>
      <c r="B530" t="str">
        <f t="shared" si="5"/>
        <v>I0018M2011-Q3</v>
      </c>
      <c r="C530" t="s">
        <v>14</v>
      </c>
      <c r="D530" t="s">
        <v>17</v>
      </c>
      <c r="E530">
        <v>7.5</v>
      </c>
    </row>
    <row r="531" spans="1:5" x14ac:dyDescent="0.25">
      <c r="A531" t="s">
        <v>476</v>
      </c>
      <c r="B531" t="str">
        <f t="shared" si="5"/>
        <v>I0018M2011-Q4</v>
      </c>
      <c r="C531" t="s">
        <v>15</v>
      </c>
      <c r="D531" t="s">
        <v>3</v>
      </c>
      <c r="E531">
        <v>7</v>
      </c>
    </row>
    <row r="532" spans="1:5" x14ac:dyDescent="0.25">
      <c r="A532" t="s">
        <v>476</v>
      </c>
      <c r="B532" t="str">
        <f t="shared" si="5"/>
        <v>I0018M2012-Q1</v>
      </c>
      <c r="C532" t="s">
        <v>418</v>
      </c>
      <c r="D532" t="s">
        <v>415</v>
      </c>
      <c r="E532">
        <v>7</v>
      </c>
    </row>
    <row r="533" spans="1:5" x14ac:dyDescent="0.25">
      <c r="A533" t="s">
        <v>476</v>
      </c>
      <c r="B533" t="str">
        <f t="shared" si="5"/>
        <v>I0018M2012-Q2</v>
      </c>
      <c r="C533" t="s">
        <v>419</v>
      </c>
      <c r="D533" t="s">
        <v>416</v>
      </c>
      <c r="E533">
        <v>6.5</v>
      </c>
    </row>
    <row r="534" spans="1:5" x14ac:dyDescent="0.25">
      <c r="A534" t="s">
        <v>476</v>
      </c>
      <c r="B534" t="str">
        <f t="shared" si="5"/>
        <v>I0018M2012-Q3</v>
      </c>
      <c r="C534" t="s">
        <v>420</v>
      </c>
      <c r="D534" t="s">
        <v>417</v>
      </c>
      <c r="E534">
        <v>6</v>
      </c>
    </row>
    <row r="535" spans="1:5" x14ac:dyDescent="0.25">
      <c r="A535" t="s">
        <v>476</v>
      </c>
      <c r="B535" t="str">
        <f t="shared" si="5"/>
        <v>I0018M2012-Q4</v>
      </c>
      <c r="C535" t="s">
        <v>451</v>
      </c>
      <c r="D535" t="s">
        <v>450</v>
      </c>
      <c r="E535">
        <v>5</v>
      </c>
    </row>
    <row r="536" spans="1:5" x14ac:dyDescent="0.25">
      <c r="A536" t="s">
        <v>476</v>
      </c>
      <c r="B536" t="str">
        <f t="shared" si="5"/>
        <v>I0018M2013-Q1</v>
      </c>
      <c r="C536" t="s">
        <v>452</v>
      </c>
      <c r="D536" t="s">
        <v>439</v>
      </c>
      <c r="E536">
        <v>5</v>
      </c>
    </row>
    <row r="537" spans="1:5" x14ac:dyDescent="0.25">
      <c r="A537" t="s">
        <v>476</v>
      </c>
      <c r="B537" t="str">
        <f t="shared" si="5"/>
        <v>I0018M2013-Q2</v>
      </c>
      <c r="C537" t="s">
        <v>453</v>
      </c>
      <c r="D537" t="s">
        <v>442</v>
      </c>
      <c r="E537">
        <v>4</v>
      </c>
    </row>
    <row r="538" spans="1:5" x14ac:dyDescent="0.25">
      <c r="A538" t="s">
        <v>476</v>
      </c>
      <c r="B538" t="str">
        <f t="shared" si="5"/>
        <v>I0018M2013-Q3</v>
      </c>
      <c r="C538" t="s">
        <v>454</v>
      </c>
      <c r="D538" t="s">
        <v>445</v>
      </c>
      <c r="E538">
        <v>4</v>
      </c>
    </row>
    <row r="539" spans="1:5" x14ac:dyDescent="0.25">
      <c r="A539" t="s">
        <v>476</v>
      </c>
      <c r="B539" t="str">
        <f t="shared" si="5"/>
        <v>I0018M2013-Q4</v>
      </c>
      <c r="C539" t="s">
        <v>455</v>
      </c>
      <c r="D539" t="s">
        <v>436</v>
      </c>
      <c r="E539">
        <v>5</v>
      </c>
    </row>
    <row r="540" spans="1:5" x14ac:dyDescent="0.25">
      <c r="A540" t="s">
        <v>476</v>
      </c>
      <c r="B540" t="str">
        <f t="shared" si="5"/>
        <v>I0018M2014-Q1</v>
      </c>
      <c r="C540" t="s">
        <v>456</v>
      </c>
      <c r="D540" t="s">
        <v>430</v>
      </c>
      <c r="E540">
        <v>4</v>
      </c>
    </row>
    <row r="541" spans="1:5" x14ac:dyDescent="0.25">
      <c r="A541" t="s">
        <v>476</v>
      </c>
      <c r="B541" t="str">
        <f t="shared" si="5"/>
        <v>I0018M2014-Q2</v>
      </c>
      <c r="C541" t="s">
        <v>457</v>
      </c>
      <c r="D541" t="s">
        <v>433</v>
      </c>
      <c r="E541">
        <v>3</v>
      </c>
    </row>
    <row r="542" spans="1:5" x14ac:dyDescent="0.25">
      <c r="A542" t="s">
        <v>476</v>
      </c>
      <c r="B542" t="str">
        <f t="shared" si="5"/>
        <v>I0018M2014-Q3</v>
      </c>
      <c r="C542" t="s">
        <v>458</v>
      </c>
      <c r="D542" t="s">
        <v>427</v>
      </c>
      <c r="E542">
        <v>3.5</v>
      </c>
    </row>
    <row r="543" spans="1:5" x14ac:dyDescent="0.25">
      <c r="A543" t="s">
        <v>476</v>
      </c>
      <c r="B543" t="str">
        <f t="shared" si="5"/>
        <v>I0018M2014-Q4</v>
      </c>
      <c r="C543" t="s">
        <v>486</v>
      </c>
      <c r="D543" t="s">
        <v>557</v>
      </c>
      <c r="E543">
        <v>3</v>
      </c>
    </row>
    <row r="544" spans="1:5" x14ac:dyDescent="0.25">
      <c r="A544" t="s">
        <v>476</v>
      </c>
      <c r="B544" t="str">
        <f t="shared" si="5"/>
        <v>I0018M2015-Q1</v>
      </c>
      <c r="C544" t="s">
        <v>558</v>
      </c>
      <c r="D544" t="s">
        <v>559</v>
      </c>
      <c r="E544">
        <v>4</v>
      </c>
    </row>
    <row r="545" spans="1:6" x14ac:dyDescent="0.25">
      <c r="A545" t="s">
        <v>476</v>
      </c>
      <c r="B545" t="str">
        <f t="shared" si="5"/>
        <v>I0018M2015-Q2</v>
      </c>
      <c r="C545" t="s">
        <v>560</v>
      </c>
      <c r="D545" t="s">
        <v>561</v>
      </c>
      <c r="E545">
        <v>3.5</v>
      </c>
    </row>
    <row r="546" spans="1:6" x14ac:dyDescent="0.25">
      <c r="A546" t="s">
        <v>476</v>
      </c>
      <c r="B546" t="str">
        <f t="shared" si="5"/>
        <v>I0018M2015-Q3</v>
      </c>
      <c r="C546" t="s">
        <v>562</v>
      </c>
      <c r="D546" t="s">
        <v>563</v>
      </c>
      <c r="E546">
        <v>3.25</v>
      </c>
    </row>
    <row r="547" spans="1:6" x14ac:dyDescent="0.25">
      <c r="A547" t="s">
        <v>476</v>
      </c>
      <c r="B547" t="str">
        <f t="shared" si="5"/>
        <v>I0018M2015-Q4</v>
      </c>
      <c r="C547" t="s">
        <v>564</v>
      </c>
      <c r="D547" t="s">
        <v>565</v>
      </c>
      <c r="E547">
        <v>3</v>
      </c>
    </row>
    <row r="548" spans="1:6" x14ac:dyDescent="0.25">
      <c r="A548" t="s">
        <v>476</v>
      </c>
      <c r="B548" t="str">
        <f t="shared" si="5"/>
        <v>I0018M2016-Q1</v>
      </c>
      <c r="C548" t="s">
        <v>629</v>
      </c>
      <c r="D548" t="s">
        <v>628</v>
      </c>
      <c r="E548">
        <v>3</v>
      </c>
    </row>
    <row r="549" spans="1:6" x14ac:dyDescent="0.25">
      <c r="A549" t="s">
        <v>476</v>
      </c>
      <c r="B549" t="str">
        <f t="shared" si="5"/>
        <v>I0018M2016-Q2</v>
      </c>
      <c r="C549" t="s">
        <v>630</v>
      </c>
      <c r="D549" t="s">
        <v>631</v>
      </c>
      <c r="E549">
        <v>3</v>
      </c>
    </row>
    <row r="550" spans="1:6" x14ac:dyDescent="0.25">
      <c r="A550" t="s">
        <v>476</v>
      </c>
      <c r="B550" t="str">
        <f t="shared" si="5"/>
        <v>I0018M2016-Q3</v>
      </c>
      <c r="C550" t="s">
        <v>632</v>
      </c>
      <c r="D550" t="s">
        <v>633</v>
      </c>
      <c r="E550">
        <v>3</v>
      </c>
    </row>
    <row r="551" spans="1:6" x14ac:dyDescent="0.25">
      <c r="A551" t="s">
        <v>476</v>
      </c>
      <c r="B551" t="str">
        <f t="shared" si="5"/>
        <v>I0018M2016-Q4</v>
      </c>
      <c r="C551" t="s">
        <v>634</v>
      </c>
      <c r="D551" t="s">
        <v>635</v>
      </c>
      <c r="E551">
        <v>3</v>
      </c>
    </row>
    <row r="552" spans="1:6" x14ac:dyDescent="0.25">
      <c r="A552" t="s">
        <v>476</v>
      </c>
      <c r="B552" t="str">
        <f t="shared" si="5"/>
        <v>I0018M2017-Q1</v>
      </c>
      <c r="C552" t="s">
        <v>636</v>
      </c>
      <c r="D552" t="s">
        <v>637</v>
      </c>
      <c r="E552">
        <v>3</v>
      </c>
    </row>
    <row r="553" spans="1:6" x14ac:dyDescent="0.25">
      <c r="A553" t="s">
        <v>477</v>
      </c>
      <c r="B553" t="str">
        <f t="shared" si="5"/>
        <v>I0019M2009-Q1</v>
      </c>
      <c r="C553" t="s">
        <v>41</v>
      </c>
      <c r="D553" t="s">
        <v>44</v>
      </c>
      <c r="E553">
        <v>128</v>
      </c>
      <c r="F553" t="s">
        <v>166</v>
      </c>
    </row>
    <row r="554" spans="1:6" x14ac:dyDescent="0.25">
      <c r="A554" t="s">
        <v>477</v>
      </c>
      <c r="B554" t="str">
        <f t="shared" si="5"/>
        <v>I0019M2009-Q2</v>
      </c>
      <c r="C554" t="s">
        <v>42</v>
      </c>
      <c r="D554" t="s">
        <v>45</v>
      </c>
      <c r="E554">
        <v>122</v>
      </c>
    </row>
    <row r="555" spans="1:6" x14ac:dyDescent="0.25">
      <c r="A555" t="s">
        <v>477</v>
      </c>
      <c r="B555" t="str">
        <f t="shared" si="5"/>
        <v>I0019M2009-Q3</v>
      </c>
      <c r="C555" t="s">
        <v>43</v>
      </c>
      <c r="D555" t="s">
        <v>46</v>
      </c>
      <c r="E555">
        <v>108</v>
      </c>
    </row>
    <row r="556" spans="1:6" x14ac:dyDescent="0.25">
      <c r="A556" t="s">
        <v>477</v>
      </c>
      <c r="B556" t="str">
        <f t="shared" si="5"/>
        <v>I0019M2009-Q4</v>
      </c>
      <c r="C556" t="s">
        <v>40</v>
      </c>
      <c r="D556" t="s">
        <v>47</v>
      </c>
      <c r="E556">
        <v>107</v>
      </c>
    </row>
    <row r="557" spans="1:6" x14ac:dyDescent="0.25">
      <c r="A557" t="s">
        <v>477</v>
      </c>
      <c r="B557" t="str">
        <f t="shared" si="5"/>
        <v>I0019M2010-Q1</v>
      </c>
      <c r="C557" t="s">
        <v>19</v>
      </c>
      <c r="D557" t="s">
        <v>24</v>
      </c>
      <c r="E557">
        <v>105</v>
      </c>
    </row>
    <row r="558" spans="1:6" x14ac:dyDescent="0.25">
      <c r="A558" t="s">
        <v>477</v>
      </c>
      <c r="B558" t="str">
        <f t="shared" ref="B558:B651" si="6">CONCATENATE(A558,"M",C558)</f>
        <v>I0019M2010-Q2</v>
      </c>
      <c r="C558" t="s">
        <v>20</v>
      </c>
      <c r="D558" t="s">
        <v>23</v>
      </c>
      <c r="E558">
        <v>104</v>
      </c>
    </row>
    <row r="559" spans="1:6" x14ac:dyDescent="0.25">
      <c r="A559" t="s">
        <v>477</v>
      </c>
      <c r="B559" t="str">
        <f t="shared" si="6"/>
        <v>I0019M2010-Q3</v>
      </c>
      <c r="C559" t="s">
        <v>21</v>
      </c>
      <c r="D559" t="s">
        <v>22</v>
      </c>
      <c r="E559">
        <v>107</v>
      </c>
    </row>
    <row r="560" spans="1:6" x14ac:dyDescent="0.25">
      <c r="A560" t="s">
        <v>477</v>
      </c>
      <c r="B560" t="str">
        <f t="shared" si="6"/>
        <v>I0019M2010-Q4</v>
      </c>
      <c r="C560" t="s">
        <v>11</v>
      </c>
      <c r="D560" t="s">
        <v>2</v>
      </c>
      <c r="E560">
        <v>95</v>
      </c>
    </row>
    <row r="561" spans="1:5" x14ac:dyDescent="0.25">
      <c r="A561" t="s">
        <v>477</v>
      </c>
      <c r="B561" t="str">
        <f t="shared" si="6"/>
        <v>I0019M2011-Q1</v>
      </c>
      <c r="C561" t="s">
        <v>12</v>
      </c>
      <c r="D561" t="s">
        <v>16</v>
      </c>
      <c r="E561">
        <v>94</v>
      </c>
    </row>
    <row r="562" spans="1:5" x14ac:dyDescent="0.25">
      <c r="A562" t="s">
        <v>477</v>
      </c>
      <c r="B562" t="str">
        <f t="shared" si="6"/>
        <v>I0019M2011-Q2</v>
      </c>
      <c r="C562" t="s">
        <v>13</v>
      </c>
      <c r="D562" t="s">
        <v>18</v>
      </c>
      <c r="E562">
        <v>92</v>
      </c>
    </row>
    <row r="563" spans="1:5" x14ac:dyDescent="0.25">
      <c r="A563" t="s">
        <v>477</v>
      </c>
      <c r="B563" t="str">
        <f t="shared" si="6"/>
        <v>I0019M2011-Q3</v>
      </c>
      <c r="C563" t="s">
        <v>14</v>
      </c>
      <c r="D563" t="s">
        <v>17</v>
      </c>
      <c r="E563">
        <v>80</v>
      </c>
    </row>
    <row r="564" spans="1:5" x14ac:dyDescent="0.25">
      <c r="A564" t="s">
        <v>477</v>
      </c>
      <c r="B564" t="str">
        <f t="shared" si="6"/>
        <v>I0019M2011-Q4</v>
      </c>
      <c r="C564" t="s">
        <v>15</v>
      </c>
      <c r="D564" t="s">
        <v>3</v>
      </c>
      <c r="E564">
        <v>78</v>
      </c>
    </row>
    <row r="565" spans="1:5" x14ac:dyDescent="0.25">
      <c r="A565" t="s">
        <v>477</v>
      </c>
      <c r="B565" t="str">
        <f t="shared" si="6"/>
        <v>I0019M2012-Q1</v>
      </c>
      <c r="C565" t="s">
        <v>418</v>
      </c>
      <c r="D565" t="s">
        <v>415</v>
      </c>
      <c r="E565">
        <v>77</v>
      </c>
    </row>
    <row r="566" spans="1:5" x14ac:dyDescent="0.25">
      <c r="A566" t="s">
        <v>477</v>
      </c>
      <c r="B566" t="str">
        <f t="shared" si="6"/>
        <v>I0019M2012-Q2</v>
      </c>
      <c r="C566" t="s">
        <v>419</v>
      </c>
      <c r="D566" t="s">
        <v>416</v>
      </c>
      <c r="E566">
        <v>75</v>
      </c>
    </row>
    <row r="567" spans="1:5" x14ac:dyDescent="0.25">
      <c r="A567" t="s">
        <v>477</v>
      </c>
      <c r="B567" t="str">
        <f t="shared" si="6"/>
        <v>I0019M2012-Q3</v>
      </c>
      <c r="C567" t="s">
        <v>420</v>
      </c>
      <c r="D567" t="s">
        <v>417</v>
      </c>
      <c r="E567">
        <v>72</v>
      </c>
    </row>
    <row r="568" spans="1:5" x14ac:dyDescent="0.25">
      <c r="A568" t="s">
        <v>477</v>
      </c>
      <c r="B568" t="str">
        <f t="shared" si="6"/>
        <v>I0019M2012-Q4</v>
      </c>
      <c r="C568" t="s">
        <v>451</v>
      </c>
      <c r="D568" t="s">
        <v>450</v>
      </c>
      <c r="E568">
        <v>70</v>
      </c>
    </row>
    <row r="569" spans="1:5" x14ac:dyDescent="0.25">
      <c r="A569" t="s">
        <v>477</v>
      </c>
      <c r="B569" t="str">
        <f t="shared" si="6"/>
        <v>I0019M2013-Q1</v>
      </c>
      <c r="C569" t="s">
        <v>452</v>
      </c>
      <c r="D569" t="s">
        <v>439</v>
      </c>
      <c r="E569">
        <v>71</v>
      </c>
    </row>
    <row r="570" spans="1:5" x14ac:dyDescent="0.25">
      <c r="A570" t="s">
        <v>477</v>
      </c>
      <c r="B570" t="str">
        <f t="shared" si="6"/>
        <v>I0019M2013-Q2</v>
      </c>
      <c r="C570" t="s">
        <v>453</v>
      </c>
      <c r="D570" t="s">
        <v>442</v>
      </c>
      <c r="E570">
        <v>70</v>
      </c>
    </row>
    <row r="571" spans="1:5" x14ac:dyDescent="0.25">
      <c r="A571" t="s">
        <v>477</v>
      </c>
      <c r="B571" t="str">
        <f t="shared" si="6"/>
        <v>I0019M2013-Q3</v>
      </c>
      <c r="C571" t="s">
        <v>454</v>
      </c>
      <c r="D571" t="s">
        <v>445</v>
      </c>
      <c r="E571">
        <v>68</v>
      </c>
    </row>
    <row r="572" spans="1:5" x14ac:dyDescent="0.25">
      <c r="A572" t="s">
        <v>477</v>
      </c>
      <c r="B572" t="str">
        <f t="shared" si="6"/>
        <v>I0019M2013-Q4</v>
      </c>
      <c r="C572" t="s">
        <v>455</v>
      </c>
      <c r="D572" t="s">
        <v>436</v>
      </c>
      <c r="E572">
        <v>66</v>
      </c>
    </row>
    <row r="573" spans="1:5" x14ac:dyDescent="0.25">
      <c r="A573" t="s">
        <v>477</v>
      </c>
      <c r="B573" t="str">
        <f t="shared" si="6"/>
        <v>I0019M2014-Q1</v>
      </c>
      <c r="C573" t="s">
        <v>456</v>
      </c>
      <c r="D573" t="s">
        <v>430</v>
      </c>
      <c r="E573">
        <v>63</v>
      </c>
    </row>
    <row r="574" spans="1:5" x14ac:dyDescent="0.25">
      <c r="A574" t="s">
        <v>477</v>
      </c>
      <c r="B574" t="str">
        <f t="shared" si="6"/>
        <v>I0019M2014-Q2</v>
      </c>
      <c r="C574" t="s">
        <v>457</v>
      </c>
      <c r="D574" t="s">
        <v>433</v>
      </c>
      <c r="E574">
        <v>60</v>
      </c>
    </row>
    <row r="575" spans="1:5" x14ac:dyDescent="0.25">
      <c r="A575" t="s">
        <v>477</v>
      </c>
      <c r="B575" t="str">
        <f t="shared" si="6"/>
        <v>I0019M2014-Q3</v>
      </c>
      <c r="C575" t="s">
        <v>458</v>
      </c>
      <c r="D575" t="s">
        <v>427</v>
      </c>
      <c r="E575">
        <v>57</v>
      </c>
    </row>
    <row r="576" spans="1:5" x14ac:dyDescent="0.25">
      <c r="A576" t="s">
        <v>477</v>
      </c>
      <c r="B576" t="str">
        <f t="shared" si="6"/>
        <v>I0019M2014-Q4</v>
      </c>
      <c r="C576" t="s">
        <v>486</v>
      </c>
      <c r="D576" t="s">
        <v>557</v>
      </c>
      <c r="E576">
        <v>55</v>
      </c>
    </row>
    <row r="577" spans="1:6" x14ac:dyDescent="0.25">
      <c r="A577" t="s">
        <v>477</v>
      </c>
      <c r="B577" t="str">
        <f t="shared" si="6"/>
        <v>I0019M2015-Q1</v>
      </c>
      <c r="C577" t="s">
        <v>558</v>
      </c>
      <c r="D577" t="s">
        <v>559</v>
      </c>
      <c r="E577">
        <v>51</v>
      </c>
    </row>
    <row r="578" spans="1:6" x14ac:dyDescent="0.25">
      <c r="A578" t="s">
        <v>477</v>
      </c>
      <c r="B578" t="str">
        <f t="shared" si="6"/>
        <v>I0019M2015-Q2</v>
      </c>
      <c r="C578" t="s">
        <v>560</v>
      </c>
      <c r="D578" t="s">
        <v>561</v>
      </c>
      <c r="E578">
        <v>48</v>
      </c>
    </row>
    <row r="579" spans="1:6" x14ac:dyDescent="0.25">
      <c r="A579" t="s">
        <v>477</v>
      </c>
      <c r="B579" t="str">
        <f t="shared" si="6"/>
        <v>I0019M2015-Q3</v>
      </c>
      <c r="C579" t="s">
        <v>562</v>
      </c>
      <c r="D579" t="s">
        <v>563</v>
      </c>
      <c r="E579">
        <v>45</v>
      </c>
    </row>
    <row r="580" spans="1:6" x14ac:dyDescent="0.25">
      <c r="A580" t="s">
        <v>477</v>
      </c>
      <c r="B580" t="str">
        <f t="shared" si="6"/>
        <v>I0019M2015-Q4</v>
      </c>
      <c r="C580" t="s">
        <v>564</v>
      </c>
      <c r="D580" t="s">
        <v>565</v>
      </c>
      <c r="E580">
        <v>42</v>
      </c>
    </row>
    <row r="581" spans="1:6" x14ac:dyDescent="0.25">
      <c r="A581" t="s">
        <v>477</v>
      </c>
      <c r="B581" t="str">
        <f t="shared" si="6"/>
        <v>I0019M2016-Q1</v>
      </c>
      <c r="C581" t="s">
        <v>629</v>
      </c>
      <c r="D581" t="s">
        <v>628</v>
      </c>
      <c r="E581">
        <v>41</v>
      </c>
    </row>
    <row r="582" spans="1:6" x14ac:dyDescent="0.25">
      <c r="A582" t="s">
        <v>477</v>
      </c>
      <c r="B582" t="str">
        <f t="shared" si="6"/>
        <v>I0019M2016-Q2</v>
      </c>
      <c r="C582" t="s">
        <v>630</v>
      </c>
      <c r="D582" t="s">
        <v>631</v>
      </c>
      <c r="E582">
        <v>40</v>
      </c>
    </row>
    <row r="583" spans="1:6" x14ac:dyDescent="0.25">
      <c r="A583" t="s">
        <v>477</v>
      </c>
      <c r="B583" t="str">
        <f t="shared" si="6"/>
        <v>I0019M2016-Q3</v>
      </c>
      <c r="C583" t="s">
        <v>632</v>
      </c>
      <c r="D583" t="s">
        <v>633</v>
      </c>
      <c r="E583">
        <v>41</v>
      </c>
    </row>
    <row r="584" spans="1:6" x14ac:dyDescent="0.25">
      <c r="A584" t="s">
        <v>477</v>
      </c>
      <c r="B584" t="str">
        <f t="shared" si="6"/>
        <v>I0019M2016-Q4</v>
      </c>
      <c r="C584" t="s">
        <v>634</v>
      </c>
      <c r="D584" t="s">
        <v>635</v>
      </c>
      <c r="E584">
        <v>40</v>
      </c>
    </row>
    <row r="585" spans="1:6" x14ac:dyDescent="0.25">
      <c r="A585" t="s">
        <v>477</v>
      </c>
      <c r="B585" t="str">
        <f t="shared" si="6"/>
        <v>I0019M2017-Q1</v>
      </c>
      <c r="C585" t="s">
        <v>636</v>
      </c>
      <c r="D585" t="s">
        <v>637</v>
      </c>
      <c r="E585">
        <v>41</v>
      </c>
    </row>
    <row r="586" spans="1:6" x14ac:dyDescent="0.25">
      <c r="A586" t="s">
        <v>478</v>
      </c>
      <c r="B586" t="str">
        <f t="shared" si="6"/>
        <v>I0020M2009-Q1</v>
      </c>
      <c r="C586" t="s">
        <v>41</v>
      </c>
      <c r="D586" t="s">
        <v>44</v>
      </c>
      <c r="E586">
        <v>4</v>
      </c>
      <c r="F586" s="4" t="s">
        <v>604</v>
      </c>
    </row>
    <row r="587" spans="1:6" x14ac:dyDescent="0.25">
      <c r="A587" t="s">
        <v>478</v>
      </c>
      <c r="B587" t="str">
        <f t="shared" si="6"/>
        <v>I0020M2009-Q2</v>
      </c>
      <c r="C587" t="s">
        <v>42</v>
      </c>
      <c r="D587" t="s">
        <v>45</v>
      </c>
      <c r="E587">
        <v>3.9</v>
      </c>
    </row>
    <row r="588" spans="1:6" x14ac:dyDescent="0.25">
      <c r="A588" t="s">
        <v>478</v>
      </c>
      <c r="B588" t="str">
        <f t="shared" si="6"/>
        <v>I0020M2009-Q3</v>
      </c>
      <c r="C588" t="s">
        <v>43</v>
      </c>
      <c r="D588" t="s">
        <v>46</v>
      </c>
      <c r="E588">
        <v>3.92</v>
      </c>
    </row>
    <row r="589" spans="1:6" x14ac:dyDescent="0.25">
      <c r="A589" t="s">
        <v>478</v>
      </c>
      <c r="B589" t="str">
        <f t="shared" si="6"/>
        <v>I0020M2009-Q4</v>
      </c>
      <c r="C589" t="s">
        <v>40</v>
      </c>
      <c r="D589" t="s">
        <v>47</v>
      </c>
      <c r="E589">
        <v>2.99</v>
      </c>
    </row>
    <row r="590" spans="1:6" x14ac:dyDescent="0.25">
      <c r="A590" t="s">
        <v>478</v>
      </c>
      <c r="B590" t="str">
        <f t="shared" si="6"/>
        <v>I0020M2010-Q1</v>
      </c>
      <c r="C590" t="s">
        <v>19</v>
      </c>
      <c r="D590" t="s">
        <v>24</v>
      </c>
      <c r="E590">
        <v>3.05</v>
      </c>
    </row>
    <row r="591" spans="1:6" x14ac:dyDescent="0.25">
      <c r="A591" t="s">
        <v>478</v>
      </c>
      <c r="B591" t="str">
        <f t="shared" si="6"/>
        <v>I0020M2010-Q2</v>
      </c>
      <c r="C591" t="s">
        <v>20</v>
      </c>
      <c r="D591" t="s">
        <v>23</v>
      </c>
      <c r="E591">
        <v>2.85</v>
      </c>
    </row>
    <row r="592" spans="1:6" x14ac:dyDescent="0.25">
      <c r="A592" t="s">
        <v>478</v>
      </c>
      <c r="B592" t="str">
        <f t="shared" si="6"/>
        <v>I0020M2010-Q3</v>
      </c>
      <c r="C592" t="s">
        <v>21</v>
      </c>
      <c r="D592" t="s">
        <v>22</v>
      </c>
      <c r="E592">
        <v>2.5</v>
      </c>
    </row>
    <row r="593" spans="1:5" x14ac:dyDescent="0.25">
      <c r="A593" t="s">
        <v>478</v>
      </c>
      <c r="B593" t="str">
        <f t="shared" si="6"/>
        <v>I0020M2010-Q4</v>
      </c>
      <c r="C593" t="s">
        <v>11</v>
      </c>
      <c r="D593" t="s">
        <v>2</v>
      </c>
      <c r="E593">
        <v>2.4300000000000002</v>
      </c>
    </row>
    <row r="594" spans="1:5" x14ac:dyDescent="0.25">
      <c r="A594" t="s">
        <v>478</v>
      </c>
      <c r="B594" t="str">
        <f t="shared" si="6"/>
        <v>I0020M2011-Q1</v>
      </c>
      <c r="C594" t="s">
        <v>12</v>
      </c>
      <c r="D594" t="s">
        <v>16</v>
      </c>
      <c r="E594">
        <v>2.1</v>
      </c>
    </row>
    <row r="595" spans="1:5" x14ac:dyDescent="0.25">
      <c r="A595" t="s">
        <v>478</v>
      </c>
      <c r="B595" t="str">
        <f t="shared" si="6"/>
        <v>I0020M2011-Q2</v>
      </c>
      <c r="C595" t="s">
        <v>13</v>
      </c>
      <c r="D595" t="s">
        <v>18</v>
      </c>
      <c r="E595">
        <v>2.2000000000000002</v>
      </c>
    </row>
    <row r="596" spans="1:5" x14ac:dyDescent="0.25">
      <c r="A596" t="s">
        <v>478</v>
      </c>
      <c r="B596" t="str">
        <f t="shared" si="6"/>
        <v>I0020M2011-Q3</v>
      </c>
      <c r="C596" t="s">
        <v>14</v>
      </c>
      <c r="D596" t="s">
        <v>17</v>
      </c>
      <c r="E596">
        <v>1.98</v>
      </c>
    </row>
    <row r="597" spans="1:5" x14ac:dyDescent="0.25">
      <c r="A597" t="s">
        <v>478</v>
      </c>
      <c r="B597" t="str">
        <f t="shared" si="6"/>
        <v>I0020M2011-Q4</v>
      </c>
      <c r="C597" t="s">
        <v>15</v>
      </c>
      <c r="D597" t="s">
        <v>3</v>
      </c>
      <c r="E597">
        <v>1.9</v>
      </c>
    </row>
    <row r="598" spans="1:5" x14ac:dyDescent="0.25">
      <c r="A598" t="s">
        <v>478</v>
      </c>
      <c r="B598" t="str">
        <f t="shared" si="6"/>
        <v>I0020M2012-Q1</v>
      </c>
      <c r="C598" t="s">
        <v>418</v>
      </c>
      <c r="D598" t="s">
        <v>415</v>
      </c>
      <c r="E598">
        <v>1.88</v>
      </c>
    </row>
    <row r="599" spans="1:5" x14ac:dyDescent="0.25">
      <c r="A599" t="s">
        <v>478</v>
      </c>
      <c r="B599" t="str">
        <f t="shared" si="6"/>
        <v>I0020M2012-Q2</v>
      </c>
      <c r="C599" t="s">
        <v>419</v>
      </c>
      <c r="D599" t="s">
        <v>416</v>
      </c>
      <c r="E599">
        <v>1.86</v>
      </c>
    </row>
    <row r="600" spans="1:5" x14ac:dyDescent="0.25">
      <c r="A600" t="s">
        <v>478</v>
      </c>
      <c r="B600" t="str">
        <f t="shared" si="6"/>
        <v>I0020M2012-Q3</v>
      </c>
      <c r="C600" t="s">
        <v>420</v>
      </c>
      <c r="D600" t="s">
        <v>417</v>
      </c>
      <c r="E600">
        <v>1.8</v>
      </c>
    </row>
    <row r="601" spans="1:5" x14ac:dyDescent="0.25">
      <c r="A601" t="s">
        <v>478</v>
      </c>
      <c r="B601" t="str">
        <f t="shared" si="6"/>
        <v>I0020M2012-Q4</v>
      </c>
      <c r="C601" t="s">
        <v>451</v>
      </c>
      <c r="D601" t="s">
        <v>450</v>
      </c>
      <c r="E601">
        <v>1.76</v>
      </c>
    </row>
    <row r="602" spans="1:5" x14ac:dyDescent="0.25">
      <c r="A602" t="s">
        <v>478</v>
      </c>
      <c r="B602" t="str">
        <f t="shared" si="6"/>
        <v>I0020M2013-Q1</v>
      </c>
      <c r="C602" t="s">
        <v>452</v>
      </c>
      <c r="D602" t="s">
        <v>439</v>
      </c>
      <c r="E602">
        <v>1.75</v>
      </c>
    </row>
    <row r="603" spans="1:5" x14ac:dyDescent="0.25">
      <c r="A603" t="s">
        <v>478</v>
      </c>
      <c r="B603" t="str">
        <f t="shared" si="6"/>
        <v>I0020M2013-Q2</v>
      </c>
      <c r="C603" t="s">
        <v>453</v>
      </c>
      <c r="D603" t="s">
        <v>442</v>
      </c>
      <c r="E603">
        <v>1.8</v>
      </c>
    </row>
    <row r="604" spans="1:5" x14ac:dyDescent="0.25">
      <c r="A604" t="s">
        <v>478</v>
      </c>
      <c r="B604" t="str">
        <f t="shared" si="6"/>
        <v>I0020M2013-Q3</v>
      </c>
      <c r="C604" t="s">
        <v>454</v>
      </c>
      <c r="D604" t="s">
        <v>445</v>
      </c>
      <c r="E604">
        <v>1.77</v>
      </c>
    </row>
    <row r="605" spans="1:5" x14ac:dyDescent="0.25">
      <c r="A605" t="s">
        <v>478</v>
      </c>
      <c r="B605" t="str">
        <f t="shared" si="6"/>
        <v>I0020M2013-Q4</v>
      </c>
      <c r="C605" t="s">
        <v>455</v>
      </c>
      <c r="D605" t="s">
        <v>436</v>
      </c>
      <c r="E605">
        <v>1.54</v>
      </c>
    </row>
    <row r="606" spans="1:5" x14ac:dyDescent="0.25">
      <c r="A606" t="s">
        <v>478</v>
      </c>
      <c r="B606" t="str">
        <f t="shared" si="6"/>
        <v>I0020M2014-Q1</v>
      </c>
      <c r="C606" t="s">
        <v>456</v>
      </c>
      <c r="D606" t="s">
        <v>430</v>
      </c>
      <c r="E606">
        <v>1.53</v>
      </c>
    </row>
    <row r="607" spans="1:5" x14ac:dyDescent="0.25">
      <c r="A607" t="s">
        <v>478</v>
      </c>
      <c r="B607" t="str">
        <f t="shared" si="6"/>
        <v>I0020M2014-Q2</v>
      </c>
      <c r="C607" t="s">
        <v>457</v>
      </c>
      <c r="D607" t="s">
        <v>433</v>
      </c>
      <c r="E607">
        <v>1.3</v>
      </c>
    </row>
    <row r="608" spans="1:5" x14ac:dyDescent="0.25">
      <c r="A608" t="s">
        <v>478</v>
      </c>
      <c r="B608" t="str">
        <f t="shared" si="6"/>
        <v>I0020M2014-Q3</v>
      </c>
      <c r="C608" t="s">
        <v>458</v>
      </c>
      <c r="D608" t="s">
        <v>427</v>
      </c>
      <c r="E608">
        <v>1.55</v>
      </c>
    </row>
    <row r="609" spans="1:6" x14ac:dyDescent="0.25">
      <c r="A609" t="s">
        <v>478</v>
      </c>
      <c r="B609" t="str">
        <f t="shared" si="6"/>
        <v>I0020M2014-Q4</v>
      </c>
      <c r="C609" t="s">
        <v>486</v>
      </c>
      <c r="D609" t="s">
        <v>557</v>
      </c>
      <c r="E609">
        <v>1.31</v>
      </c>
    </row>
    <row r="610" spans="1:6" x14ac:dyDescent="0.25">
      <c r="A610" t="s">
        <v>478</v>
      </c>
      <c r="B610" t="str">
        <f t="shared" si="6"/>
        <v>I0020M2015-Q1</v>
      </c>
      <c r="C610" t="s">
        <v>558</v>
      </c>
      <c r="D610" t="s">
        <v>559</v>
      </c>
      <c r="E610">
        <v>1.29</v>
      </c>
    </row>
    <row r="611" spans="1:6" x14ac:dyDescent="0.25">
      <c r="A611" t="s">
        <v>478</v>
      </c>
      <c r="B611" t="str">
        <f t="shared" si="6"/>
        <v>I0020M2015-Q2</v>
      </c>
      <c r="C611" t="s">
        <v>560</v>
      </c>
      <c r="D611" t="s">
        <v>561</v>
      </c>
      <c r="E611">
        <v>1.3</v>
      </c>
    </row>
    <row r="612" spans="1:6" x14ac:dyDescent="0.25">
      <c r="A612" t="s">
        <v>478</v>
      </c>
      <c r="B612" t="str">
        <f t="shared" si="6"/>
        <v>I0020M2015-Q3</v>
      </c>
      <c r="C612" t="s">
        <v>562</v>
      </c>
      <c r="D612" t="s">
        <v>563</v>
      </c>
      <c r="E612">
        <v>1.2</v>
      </c>
    </row>
    <row r="613" spans="1:6" x14ac:dyDescent="0.25">
      <c r="A613" t="s">
        <v>478</v>
      </c>
      <c r="B613" t="str">
        <f t="shared" si="6"/>
        <v>I0020M2015-Q4</v>
      </c>
      <c r="C613" t="s">
        <v>564</v>
      </c>
      <c r="D613" t="s">
        <v>565</v>
      </c>
      <c r="E613">
        <v>1.25</v>
      </c>
    </row>
    <row r="614" spans="1:6" x14ac:dyDescent="0.25">
      <c r="A614" t="s">
        <v>478</v>
      </c>
      <c r="B614" t="str">
        <f t="shared" si="6"/>
        <v>I0020M2016-Q1</v>
      </c>
      <c r="C614" t="s">
        <v>629</v>
      </c>
      <c r="D614" t="s">
        <v>628</v>
      </c>
      <c r="E614">
        <v>1.24</v>
      </c>
    </row>
    <row r="615" spans="1:6" x14ac:dyDescent="0.25">
      <c r="A615" t="s">
        <v>478</v>
      </c>
      <c r="B615" t="str">
        <f t="shared" si="6"/>
        <v>I0020M2016-Q2</v>
      </c>
      <c r="C615" t="s">
        <v>630</v>
      </c>
      <c r="D615" t="s">
        <v>631</v>
      </c>
      <c r="E615">
        <v>1.22</v>
      </c>
    </row>
    <row r="616" spans="1:6" x14ac:dyDescent="0.25">
      <c r="A616" t="s">
        <v>478</v>
      </c>
      <c r="B616" t="str">
        <f t="shared" si="6"/>
        <v>I0020M2016-Q3</v>
      </c>
      <c r="C616" t="s">
        <v>632</v>
      </c>
      <c r="D616" t="s">
        <v>633</v>
      </c>
      <c r="E616">
        <v>1.23</v>
      </c>
    </row>
    <row r="617" spans="1:6" x14ac:dyDescent="0.25">
      <c r="A617" t="s">
        <v>478</v>
      </c>
      <c r="B617" t="str">
        <f t="shared" si="6"/>
        <v>I0020M2016-Q4</v>
      </c>
      <c r="C617" t="s">
        <v>634</v>
      </c>
      <c r="D617" t="s">
        <v>635</v>
      </c>
      <c r="E617">
        <v>1.35</v>
      </c>
    </row>
    <row r="618" spans="1:6" x14ac:dyDescent="0.25">
      <c r="A618" t="s">
        <v>478</v>
      </c>
      <c r="B618" t="str">
        <f t="shared" si="6"/>
        <v>I0020M2017-Q1</v>
      </c>
      <c r="C618" t="s">
        <v>636</v>
      </c>
      <c r="D618" t="s">
        <v>637</v>
      </c>
      <c r="E618">
        <v>1.25</v>
      </c>
    </row>
    <row r="619" spans="1:6" x14ac:dyDescent="0.25">
      <c r="A619" t="s">
        <v>479</v>
      </c>
      <c r="B619" t="str">
        <f t="shared" si="6"/>
        <v>I0021M2009-Q1</v>
      </c>
      <c r="C619" t="s">
        <v>41</v>
      </c>
      <c r="D619" t="s">
        <v>44</v>
      </c>
      <c r="E619">
        <v>52</v>
      </c>
      <c r="F619" t="s">
        <v>605</v>
      </c>
    </row>
    <row r="620" spans="1:6" x14ac:dyDescent="0.25">
      <c r="A620" t="s">
        <v>479</v>
      </c>
      <c r="B620" t="str">
        <f t="shared" si="6"/>
        <v>I0021M2009-Q2</v>
      </c>
      <c r="C620" t="s">
        <v>42</v>
      </c>
      <c r="D620" t="s">
        <v>45</v>
      </c>
      <c r="E620">
        <v>51.5</v>
      </c>
    </row>
    <row r="621" spans="1:6" x14ac:dyDescent="0.25">
      <c r="A621" t="s">
        <v>479</v>
      </c>
      <c r="B621" t="str">
        <f t="shared" si="6"/>
        <v>I0021M2009-Q3</v>
      </c>
      <c r="C621" t="s">
        <v>43</v>
      </c>
      <c r="D621" t="s">
        <v>46</v>
      </c>
      <c r="E621">
        <v>51.2</v>
      </c>
    </row>
    <row r="622" spans="1:6" x14ac:dyDescent="0.25">
      <c r="A622" t="s">
        <v>479</v>
      </c>
      <c r="B622" t="str">
        <f t="shared" si="6"/>
        <v>I0021M2009-Q4</v>
      </c>
      <c r="C622" t="s">
        <v>40</v>
      </c>
      <c r="D622" t="s">
        <v>47</v>
      </c>
      <c r="E622">
        <v>50.08</v>
      </c>
    </row>
    <row r="623" spans="1:6" x14ac:dyDescent="0.25">
      <c r="A623" t="s">
        <v>479</v>
      </c>
      <c r="B623" t="str">
        <f t="shared" si="6"/>
        <v>I0021M2010-Q1</v>
      </c>
      <c r="C623" t="s">
        <v>19</v>
      </c>
      <c r="D623" t="s">
        <v>24</v>
      </c>
      <c r="E623">
        <v>49.95</v>
      </c>
    </row>
    <row r="624" spans="1:6" x14ac:dyDescent="0.25">
      <c r="A624" t="s">
        <v>479</v>
      </c>
      <c r="B624" t="str">
        <f t="shared" si="6"/>
        <v>I0021M2010-Q2</v>
      </c>
      <c r="C624" t="s">
        <v>20</v>
      </c>
      <c r="D624" t="s">
        <v>23</v>
      </c>
      <c r="E624">
        <v>48</v>
      </c>
    </row>
    <row r="625" spans="1:5" x14ac:dyDescent="0.25">
      <c r="A625" t="s">
        <v>479</v>
      </c>
      <c r="B625" t="str">
        <f t="shared" si="6"/>
        <v>I0021M2010-Q3</v>
      </c>
      <c r="C625" t="s">
        <v>21</v>
      </c>
      <c r="D625" t="s">
        <v>22</v>
      </c>
      <c r="E625">
        <v>46.5</v>
      </c>
    </row>
    <row r="626" spans="1:5" x14ac:dyDescent="0.25">
      <c r="A626" t="s">
        <v>479</v>
      </c>
      <c r="B626" t="str">
        <f t="shared" si="6"/>
        <v>I0021M2010-Q4</v>
      </c>
      <c r="C626" t="s">
        <v>11</v>
      </c>
      <c r="D626" t="s">
        <v>2</v>
      </c>
      <c r="E626">
        <v>46.65</v>
      </c>
    </row>
    <row r="627" spans="1:5" x14ac:dyDescent="0.25">
      <c r="A627" t="s">
        <v>479</v>
      </c>
      <c r="B627" t="str">
        <f t="shared" si="6"/>
        <v>I0021M2011-Q1</v>
      </c>
      <c r="C627" t="s">
        <v>12</v>
      </c>
      <c r="D627" t="s">
        <v>16</v>
      </c>
      <c r="E627">
        <v>47</v>
      </c>
    </row>
    <row r="628" spans="1:5" x14ac:dyDescent="0.25">
      <c r="A628" t="s">
        <v>479</v>
      </c>
      <c r="B628" t="str">
        <f t="shared" si="6"/>
        <v>I0021M2011-Q2</v>
      </c>
      <c r="C628" t="s">
        <v>13</v>
      </c>
      <c r="D628" t="s">
        <v>18</v>
      </c>
      <c r="E628">
        <v>45.3</v>
      </c>
    </row>
    <row r="629" spans="1:5" x14ac:dyDescent="0.25">
      <c r="A629" t="s">
        <v>479</v>
      </c>
      <c r="B629" t="str">
        <f t="shared" si="6"/>
        <v>I0021M2011-Q3</v>
      </c>
      <c r="C629" t="s">
        <v>14</v>
      </c>
      <c r="D629" t="s">
        <v>17</v>
      </c>
      <c r="E629">
        <v>45</v>
      </c>
    </row>
    <row r="630" spans="1:5" x14ac:dyDescent="0.25">
      <c r="A630" t="s">
        <v>479</v>
      </c>
      <c r="B630" t="str">
        <f t="shared" si="6"/>
        <v>I0021M2011-Q4</v>
      </c>
      <c r="C630" t="s">
        <v>15</v>
      </c>
      <c r="D630" t="s">
        <v>3</v>
      </c>
      <c r="E630">
        <v>44.45</v>
      </c>
    </row>
    <row r="631" spans="1:5" x14ac:dyDescent="0.25">
      <c r="A631" t="s">
        <v>479</v>
      </c>
      <c r="B631" t="str">
        <f t="shared" si="6"/>
        <v>I0021M2012-Q1</v>
      </c>
      <c r="C631" t="s">
        <v>418</v>
      </c>
      <c r="D631" t="s">
        <v>415</v>
      </c>
      <c r="E631">
        <v>44</v>
      </c>
    </row>
    <row r="632" spans="1:5" x14ac:dyDescent="0.25">
      <c r="A632" t="s">
        <v>479</v>
      </c>
      <c r="B632" t="str">
        <f t="shared" si="6"/>
        <v>I0021M2012-Q2</v>
      </c>
      <c r="C632" t="s">
        <v>419</v>
      </c>
      <c r="D632" t="s">
        <v>416</v>
      </c>
      <c r="E632">
        <v>43.5</v>
      </c>
    </row>
    <row r="633" spans="1:5" x14ac:dyDescent="0.25">
      <c r="A633" t="s">
        <v>479</v>
      </c>
      <c r="B633" t="str">
        <f t="shared" si="6"/>
        <v>I0021M2012-Q3</v>
      </c>
      <c r="C633" t="s">
        <v>420</v>
      </c>
      <c r="D633" t="s">
        <v>417</v>
      </c>
      <c r="E633">
        <v>43.3</v>
      </c>
    </row>
    <row r="634" spans="1:5" x14ac:dyDescent="0.25">
      <c r="A634" t="s">
        <v>479</v>
      </c>
      <c r="B634" t="str">
        <f t="shared" si="6"/>
        <v>I0021M2012-Q4</v>
      </c>
      <c r="C634" t="s">
        <v>451</v>
      </c>
      <c r="D634" t="s">
        <v>450</v>
      </c>
      <c r="E634">
        <v>43</v>
      </c>
    </row>
    <row r="635" spans="1:5" x14ac:dyDescent="0.25">
      <c r="A635" t="s">
        <v>479</v>
      </c>
      <c r="B635" t="str">
        <f t="shared" si="6"/>
        <v>I0021M2013-Q1</v>
      </c>
      <c r="C635" t="s">
        <v>452</v>
      </c>
      <c r="D635" t="s">
        <v>439</v>
      </c>
      <c r="E635">
        <v>42.8</v>
      </c>
    </row>
    <row r="636" spans="1:5" x14ac:dyDescent="0.25">
      <c r="A636" t="s">
        <v>479</v>
      </c>
      <c r="B636" t="str">
        <f t="shared" si="6"/>
        <v>I0021M2013-Q2</v>
      </c>
      <c r="C636" t="s">
        <v>453</v>
      </c>
      <c r="D636" t="s">
        <v>442</v>
      </c>
      <c r="E636">
        <v>42.7</v>
      </c>
    </row>
    <row r="637" spans="1:5" x14ac:dyDescent="0.25">
      <c r="A637" t="s">
        <v>479</v>
      </c>
      <c r="B637" t="str">
        <f t="shared" si="6"/>
        <v>I0021M2013-Q3</v>
      </c>
      <c r="C637" t="s">
        <v>454</v>
      </c>
      <c r="D637" t="s">
        <v>445</v>
      </c>
      <c r="E637">
        <v>42.5</v>
      </c>
    </row>
    <row r="638" spans="1:5" x14ac:dyDescent="0.25">
      <c r="A638" t="s">
        <v>479</v>
      </c>
      <c r="B638" t="str">
        <f t="shared" si="6"/>
        <v>I0021M2013-Q4</v>
      </c>
      <c r="C638" t="s">
        <v>455</v>
      </c>
      <c r="D638" t="s">
        <v>436</v>
      </c>
      <c r="E638">
        <v>41.9</v>
      </c>
    </row>
    <row r="639" spans="1:5" x14ac:dyDescent="0.25">
      <c r="A639" t="s">
        <v>479</v>
      </c>
      <c r="B639" t="str">
        <f t="shared" si="6"/>
        <v>I0021M2014-Q1</v>
      </c>
      <c r="C639" t="s">
        <v>456</v>
      </c>
      <c r="D639" t="s">
        <v>430</v>
      </c>
      <c r="E639">
        <v>41.7</v>
      </c>
    </row>
    <row r="640" spans="1:5" x14ac:dyDescent="0.25">
      <c r="A640" t="s">
        <v>479</v>
      </c>
      <c r="B640" t="str">
        <f t="shared" si="6"/>
        <v>I0021M2014-Q2</v>
      </c>
      <c r="C640" t="s">
        <v>457</v>
      </c>
      <c r="D640" t="s">
        <v>433</v>
      </c>
      <c r="E640">
        <v>41.7</v>
      </c>
    </row>
    <row r="641" spans="1:6" x14ac:dyDescent="0.25">
      <c r="A641" t="s">
        <v>479</v>
      </c>
      <c r="B641" t="str">
        <f t="shared" si="6"/>
        <v>I0021M2014-Q3</v>
      </c>
      <c r="C641" t="s">
        <v>458</v>
      </c>
      <c r="D641" t="s">
        <v>427</v>
      </c>
      <c r="E641">
        <v>41.5</v>
      </c>
    </row>
    <row r="642" spans="1:6" x14ac:dyDescent="0.25">
      <c r="A642" t="s">
        <v>479</v>
      </c>
      <c r="B642" t="str">
        <f t="shared" si="6"/>
        <v>I0021M2014-Q4</v>
      </c>
      <c r="C642" t="s">
        <v>486</v>
      </c>
      <c r="D642" t="s">
        <v>557</v>
      </c>
      <c r="E642">
        <v>41.2</v>
      </c>
    </row>
    <row r="643" spans="1:6" x14ac:dyDescent="0.25">
      <c r="A643" t="s">
        <v>479</v>
      </c>
      <c r="B643" t="str">
        <f t="shared" si="6"/>
        <v>I0021M2015-Q1</v>
      </c>
      <c r="C643" t="s">
        <v>558</v>
      </c>
      <c r="D643" t="s">
        <v>559</v>
      </c>
      <c r="E643">
        <v>41.1</v>
      </c>
    </row>
    <row r="644" spans="1:6" x14ac:dyDescent="0.25">
      <c r="A644" t="s">
        <v>479</v>
      </c>
      <c r="B644" t="str">
        <f t="shared" si="6"/>
        <v>I0021M2015-Q2</v>
      </c>
      <c r="C644" t="s">
        <v>560</v>
      </c>
      <c r="D644" t="s">
        <v>561</v>
      </c>
      <c r="E644">
        <v>42</v>
      </c>
    </row>
    <row r="645" spans="1:6" x14ac:dyDescent="0.25">
      <c r="A645" t="s">
        <v>479</v>
      </c>
      <c r="B645" t="str">
        <f t="shared" si="6"/>
        <v>I0021M2015-Q3</v>
      </c>
      <c r="C645" t="s">
        <v>562</v>
      </c>
      <c r="D645" t="s">
        <v>563</v>
      </c>
      <c r="E645">
        <v>41.5</v>
      </c>
    </row>
    <row r="646" spans="1:6" x14ac:dyDescent="0.25">
      <c r="A646" t="s">
        <v>479</v>
      </c>
      <c r="B646" t="str">
        <f t="shared" si="6"/>
        <v>I0021M2015-Q4</v>
      </c>
      <c r="C646" t="s">
        <v>564</v>
      </c>
      <c r="D646" t="s">
        <v>565</v>
      </c>
      <c r="E646">
        <v>41</v>
      </c>
    </row>
    <row r="647" spans="1:6" x14ac:dyDescent="0.25">
      <c r="A647" t="s">
        <v>479</v>
      </c>
      <c r="B647" t="str">
        <f t="shared" si="6"/>
        <v>I0021M2016-Q1</v>
      </c>
      <c r="C647" t="s">
        <v>629</v>
      </c>
      <c r="D647" t="s">
        <v>628</v>
      </c>
      <c r="E647">
        <v>40.950000000000003</v>
      </c>
    </row>
    <row r="648" spans="1:6" x14ac:dyDescent="0.25">
      <c r="A648" t="s">
        <v>479</v>
      </c>
      <c r="B648" t="str">
        <f t="shared" si="6"/>
        <v>I0021M2016-Q2</v>
      </c>
      <c r="C648" t="s">
        <v>630</v>
      </c>
      <c r="D648" t="s">
        <v>631</v>
      </c>
      <c r="E648">
        <v>41</v>
      </c>
    </row>
    <row r="649" spans="1:6" x14ac:dyDescent="0.25">
      <c r="A649" t="s">
        <v>479</v>
      </c>
      <c r="B649" t="str">
        <f t="shared" si="6"/>
        <v>I0021M2016-Q3</v>
      </c>
      <c r="C649" t="s">
        <v>632</v>
      </c>
      <c r="D649" t="s">
        <v>633</v>
      </c>
      <c r="E649">
        <v>40.799999999999997</v>
      </c>
    </row>
    <row r="650" spans="1:6" x14ac:dyDescent="0.25">
      <c r="A650" t="s">
        <v>479</v>
      </c>
      <c r="B650" t="str">
        <f t="shared" si="6"/>
        <v>I0021M2016-Q4</v>
      </c>
      <c r="C650" t="s">
        <v>634</v>
      </c>
      <c r="D650" t="s">
        <v>635</v>
      </c>
      <c r="E650">
        <v>40</v>
      </c>
    </row>
    <row r="651" spans="1:6" x14ac:dyDescent="0.25">
      <c r="A651" t="s">
        <v>479</v>
      </c>
      <c r="B651" t="str">
        <f t="shared" si="6"/>
        <v>I0021M2017-Q1</v>
      </c>
      <c r="C651" t="s">
        <v>636</v>
      </c>
      <c r="D651" t="s">
        <v>637</v>
      </c>
      <c r="E651">
        <v>39.5</v>
      </c>
    </row>
    <row r="652" spans="1:6" x14ac:dyDescent="0.25">
      <c r="A652" t="s">
        <v>480</v>
      </c>
      <c r="B652" t="str">
        <f t="shared" ref="B652:B738" si="7">CONCATENATE(A652,"M",C652)</f>
        <v>I0022M2009-Q1</v>
      </c>
      <c r="C652" t="s">
        <v>41</v>
      </c>
      <c r="D652" t="s">
        <v>44</v>
      </c>
      <c r="E652">
        <v>52</v>
      </c>
      <c r="F652" s="4" t="s">
        <v>606</v>
      </c>
    </row>
    <row r="653" spans="1:6" x14ac:dyDescent="0.25">
      <c r="A653" t="s">
        <v>480</v>
      </c>
      <c r="B653" t="str">
        <f t="shared" si="7"/>
        <v>I0022M2009-Q2</v>
      </c>
      <c r="C653" t="s">
        <v>42</v>
      </c>
      <c r="D653" t="s">
        <v>45</v>
      </c>
      <c r="E653">
        <v>54.5</v>
      </c>
    </row>
    <row r="654" spans="1:6" x14ac:dyDescent="0.25">
      <c r="A654" t="s">
        <v>480</v>
      </c>
      <c r="B654" t="str">
        <f t="shared" si="7"/>
        <v>I0022M2009-Q3</v>
      </c>
      <c r="C654" t="s">
        <v>43</v>
      </c>
      <c r="D654" t="s">
        <v>46</v>
      </c>
      <c r="E654">
        <v>55</v>
      </c>
    </row>
    <row r="655" spans="1:6" x14ac:dyDescent="0.25">
      <c r="A655" t="s">
        <v>480</v>
      </c>
      <c r="B655" t="str">
        <f t="shared" si="7"/>
        <v>I0022M2009-Q4</v>
      </c>
      <c r="C655" t="s">
        <v>40</v>
      </c>
      <c r="D655" t="s">
        <v>47</v>
      </c>
      <c r="E655">
        <v>62</v>
      </c>
    </row>
    <row r="656" spans="1:6" x14ac:dyDescent="0.25">
      <c r="A656" t="s">
        <v>480</v>
      </c>
      <c r="B656" t="str">
        <f t="shared" si="7"/>
        <v>I0022M2010-Q1</v>
      </c>
      <c r="C656" t="s">
        <v>19</v>
      </c>
      <c r="D656" t="s">
        <v>24</v>
      </c>
      <c r="E656">
        <v>65</v>
      </c>
    </row>
    <row r="657" spans="1:5" x14ac:dyDescent="0.25">
      <c r="A657" t="s">
        <v>480</v>
      </c>
      <c r="B657" t="str">
        <f t="shared" si="7"/>
        <v>I0022M2010-Q2</v>
      </c>
      <c r="C657" t="s">
        <v>20</v>
      </c>
      <c r="D657" t="s">
        <v>23</v>
      </c>
      <c r="E657">
        <v>68</v>
      </c>
    </row>
    <row r="658" spans="1:5" x14ac:dyDescent="0.25">
      <c r="A658" t="s">
        <v>480</v>
      </c>
      <c r="B658" t="str">
        <f t="shared" si="7"/>
        <v>I0022M2010-Q3</v>
      </c>
      <c r="C658" t="s">
        <v>21</v>
      </c>
      <c r="D658" t="s">
        <v>22</v>
      </c>
      <c r="E658">
        <v>72</v>
      </c>
    </row>
    <row r="659" spans="1:5" x14ac:dyDescent="0.25">
      <c r="A659" t="s">
        <v>480</v>
      </c>
      <c r="B659" t="str">
        <f t="shared" si="7"/>
        <v>I0022M2010-Q4</v>
      </c>
      <c r="C659" t="s">
        <v>11</v>
      </c>
      <c r="D659" t="s">
        <v>2</v>
      </c>
      <c r="E659">
        <v>68</v>
      </c>
    </row>
    <row r="660" spans="1:5" x14ac:dyDescent="0.25">
      <c r="A660" t="s">
        <v>480</v>
      </c>
      <c r="B660" t="str">
        <f t="shared" si="7"/>
        <v>I0022M2011-Q1</v>
      </c>
      <c r="C660" t="s">
        <v>12</v>
      </c>
      <c r="D660" t="s">
        <v>16</v>
      </c>
      <c r="E660">
        <v>70</v>
      </c>
    </row>
    <row r="661" spans="1:5" x14ac:dyDescent="0.25">
      <c r="A661" t="s">
        <v>480</v>
      </c>
      <c r="B661" t="str">
        <f t="shared" si="7"/>
        <v>I0022M2011-Q2</v>
      </c>
      <c r="C661" t="s">
        <v>13</v>
      </c>
      <c r="D661" t="s">
        <v>18</v>
      </c>
      <c r="E661">
        <v>69</v>
      </c>
    </row>
    <row r="662" spans="1:5" x14ac:dyDescent="0.25">
      <c r="A662" t="s">
        <v>480</v>
      </c>
      <c r="B662" t="str">
        <f t="shared" si="7"/>
        <v>I0022M2011-Q3</v>
      </c>
      <c r="C662" t="s">
        <v>14</v>
      </c>
      <c r="D662" t="s">
        <v>17</v>
      </c>
      <c r="E662">
        <v>73.5</v>
      </c>
    </row>
    <row r="663" spans="1:5" x14ac:dyDescent="0.25">
      <c r="A663" t="s">
        <v>480</v>
      </c>
      <c r="B663" t="str">
        <f t="shared" si="7"/>
        <v>I0022M2011-Q4</v>
      </c>
      <c r="C663" t="s">
        <v>15</v>
      </c>
      <c r="D663" t="s">
        <v>3</v>
      </c>
      <c r="E663">
        <v>76</v>
      </c>
    </row>
    <row r="664" spans="1:5" x14ac:dyDescent="0.25">
      <c r="A664" t="s">
        <v>480</v>
      </c>
      <c r="B664" t="str">
        <f t="shared" si="7"/>
        <v>I0022M2012-Q1</v>
      </c>
      <c r="C664" t="s">
        <v>418</v>
      </c>
      <c r="D664" t="s">
        <v>415</v>
      </c>
      <c r="E664">
        <v>75</v>
      </c>
    </row>
    <row r="665" spans="1:5" x14ac:dyDescent="0.25">
      <c r="A665" t="s">
        <v>480</v>
      </c>
      <c r="B665" t="str">
        <f t="shared" si="7"/>
        <v>I0022M2012-Q2</v>
      </c>
      <c r="C665" t="s">
        <v>419</v>
      </c>
      <c r="D665" t="s">
        <v>416</v>
      </c>
      <c r="E665">
        <v>75</v>
      </c>
    </row>
    <row r="666" spans="1:5" x14ac:dyDescent="0.25">
      <c r="A666" t="s">
        <v>480</v>
      </c>
      <c r="B666" t="str">
        <f t="shared" si="7"/>
        <v>I0022M2012-Q3</v>
      </c>
      <c r="C666" t="s">
        <v>420</v>
      </c>
      <c r="D666" t="s">
        <v>417</v>
      </c>
      <c r="E666">
        <v>76</v>
      </c>
    </row>
    <row r="667" spans="1:5" x14ac:dyDescent="0.25">
      <c r="A667" t="s">
        <v>480</v>
      </c>
      <c r="B667" t="str">
        <f t="shared" si="7"/>
        <v>I0022M2012-Q4</v>
      </c>
      <c r="C667" t="s">
        <v>451</v>
      </c>
      <c r="D667" t="s">
        <v>450</v>
      </c>
      <c r="E667">
        <v>76</v>
      </c>
    </row>
    <row r="668" spans="1:5" x14ac:dyDescent="0.25">
      <c r="A668" t="s">
        <v>480</v>
      </c>
      <c r="B668" t="str">
        <f t="shared" si="7"/>
        <v>I0022M2013-Q1</v>
      </c>
      <c r="C668" t="s">
        <v>452</v>
      </c>
      <c r="D668" t="s">
        <v>439</v>
      </c>
      <c r="E668">
        <v>77</v>
      </c>
    </row>
    <row r="669" spans="1:5" x14ac:dyDescent="0.25">
      <c r="A669" t="s">
        <v>480</v>
      </c>
      <c r="B669" t="str">
        <f t="shared" si="7"/>
        <v>I0022M2013-Q2</v>
      </c>
      <c r="C669" t="s">
        <v>453</v>
      </c>
      <c r="D669" t="s">
        <v>442</v>
      </c>
      <c r="E669">
        <v>78</v>
      </c>
    </row>
    <row r="670" spans="1:5" x14ac:dyDescent="0.25">
      <c r="A670" t="s">
        <v>480</v>
      </c>
      <c r="B670" t="str">
        <f t="shared" si="7"/>
        <v>I0022M2013-Q3</v>
      </c>
      <c r="C670" t="s">
        <v>454</v>
      </c>
      <c r="D670" t="s">
        <v>445</v>
      </c>
      <c r="E670">
        <v>76</v>
      </c>
    </row>
    <row r="671" spans="1:5" x14ac:dyDescent="0.25">
      <c r="A671" t="s">
        <v>480</v>
      </c>
      <c r="B671" t="str">
        <f t="shared" si="7"/>
        <v>I0022M2013-Q4</v>
      </c>
      <c r="C671" t="s">
        <v>455</v>
      </c>
      <c r="D671" t="s">
        <v>436</v>
      </c>
      <c r="E671">
        <v>78</v>
      </c>
    </row>
    <row r="672" spans="1:5" x14ac:dyDescent="0.25">
      <c r="A672" t="s">
        <v>480</v>
      </c>
      <c r="B672" t="str">
        <f t="shared" si="7"/>
        <v>I0022M2014-Q1</v>
      </c>
      <c r="C672" t="s">
        <v>456</v>
      </c>
      <c r="D672" t="s">
        <v>430</v>
      </c>
      <c r="E672">
        <v>79</v>
      </c>
    </row>
    <row r="673" spans="1:6" x14ac:dyDescent="0.25">
      <c r="A673" t="s">
        <v>480</v>
      </c>
      <c r="B673" t="str">
        <f t="shared" si="7"/>
        <v>I0022M2014-Q2</v>
      </c>
      <c r="C673" t="s">
        <v>457</v>
      </c>
      <c r="D673" t="s">
        <v>433</v>
      </c>
      <c r="E673">
        <v>82</v>
      </c>
    </row>
    <row r="674" spans="1:6" x14ac:dyDescent="0.25">
      <c r="A674" t="s">
        <v>480</v>
      </c>
      <c r="B674" t="str">
        <f t="shared" si="7"/>
        <v>I0022M2014-Q3</v>
      </c>
      <c r="C674" t="s">
        <v>458</v>
      </c>
      <c r="D674" t="s">
        <v>427</v>
      </c>
      <c r="E674">
        <v>82</v>
      </c>
    </row>
    <row r="675" spans="1:6" x14ac:dyDescent="0.25">
      <c r="A675" t="s">
        <v>480</v>
      </c>
      <c r="B675" t="str">
        <f t="shared" si="7"/>
        <v>I0022M2014-Q4</v>
      </c>
      <c r="C675" t="s">
        <v>486</v>
      </c>
      <c r="D675" t="s">
        <v>557</v>
      </c>
      <c r="E675">
        <v>83</v>
      </c>
    </row>
    <row r="676" spans="1:6" x14ac:dyDescent="0.25">
      <c r="A676" t="s">
        <v>480</v>
      </c>
      <c r="B676" t="str">
        <f t="shared" si="7"/>
        <v>I0022M2015-Q1</v>
      </c>
      <c r="C676" t="s">
        <v>558</v>
      </c>
      <c r="D676" t="s">
        <v>559</v>
      </c>
      <c r="E676">
        <v>84</v>
      </c>
    </row>
    <row r="677" spans="1:6" x14ac:dyDescent="0.25">
      <c r="A677" t="s">
        <v>480</v>
      </c>
      <c r="B677" t="str">
        <f t="shared" si="7"/>
        <v>I0022M2015-Q2</v>
      </c>
      <c r="C677" t="s">
        <v>560</v>
      </c>
      <c r="D677" t="s">
        <v>561</v>
      </c>
      <c r="E677">
        <v>86</v>
      </c>
    </row>
    <row r="678" spans="1:6" x14ac:dyDescent="0.25">
      <c r="A678" t="s">
        <v>480</v>
      </c>
      <c r="B678" t="str">
        <f t="shared" si="7"/>
        <v>I0022M2015-Q3</v>
      </c>
      <c r="C678" t="s">
        <v>562</v>
      </c>
      <c r="D678" t="s">
        <v>563</v>
      </c>
      <c r="E678">
        <v>87</v>
      </c>
    </row>
    <row r="679" spans="1:6" x14ac:dyDescent="0.25">
      <c r="A679" t="s">
        <v>480</v>
      </c>
      <c r="B679" t="str">
        <f t="shared" si="7"/>
        <v>I0022M2015-Q4</v>
      </c>
      <c r="C679" t="s">
        <v>564</v>
      </c>
      <c r="D679" t="s">
        <v>565</v>
      </c>
      <c r="E679">
        <v>88</v>
      </c>
    </row>
    <row r="680" spans="1:6" x14ac:dyDescent="0.25">
      <c r="A680" t="s">
        <v>480</v>
      </c>
      <c r="B680" t="str">
        <f t="shared" si="7"/>
        <v>I0022M2016-Q1</v>
      </c>
      <c r="C680" t="s">
        <v>629</v>
      </c>
      <c r="D680" t="s">
        <v>628</v>
      </c>
      <c r="E680">
        <v>88</v>
      </c>
    </row>
    <row r="681" spans="1:6" x14ac:dyDescent="0.25">
      <c r="A681" t="s">
        <v>480</v>
      </c>
      <c r="B681" t="str">
        <f t="shared" si="7"/>
        <v>I0022M2016-Q2</v>
      </c>
      <c r="C681" t="s">
        <v>630</v>
      </c>
      <c r="D681" t="s">
        <v>631</v>
      </c>
      <c r="E681">
        <v>87</v>
      </c>
    </row>
    <row r="682" spans="1:6" x14ac:dyDescent="0.25">
      <c r="A682" t="s">
        <v>480</v>
      </c>
      <c r="B682" t="str">
        <f t="shared" si="7"/>
        <v>I0022M2016-Q3</v>
      </c>
      <c r="C682" t="s">
        <v>632</v>
      </c>
      <c r="D682" t="s">
        <v>633</v>
      </c>
      <c r="E682">
        <v>88</v>
      </c>
    </row>
    <row r="683" spans="1:6" x14ac:dyDescent="0.25">
      <c r="A683" t="s">
        <v>480</v>
      </c>
      <c r="B683" t="str">
        <f t="shared" si="7"/>
        <v>I0022M2016-Q4</v>
      </c>
      <c r="C683" t="s">
        <v>634</v>
      </c>
      <c r="D683" t="s">
        <v>635</v>
      </c>
      <c r="E683">
        <v>88</v>
      </c>
    </row>
    <row r="684" spans="1:6" x14ac:dyDescent="0.25">
      <c r="A684" t="s">
        <v>480</v>
      </c>
      <c r="B684" t="str">
        <f t="shared" si="7"/>
        <v>I0022M2017-Q1</v>
      </c>
      <c r="C684" t="s">
        <v>636</v>
      </c>
      <c r="D684" t="s">
        <v>637</v>
      </c>
      <c r="E684">
        <v>89</v>
      </c>
    </row>
    <row r="685" spans="1:6" x14ac:dyDescent="0.25">
      <c r="A685" t="s">
        <v>481</v>
      </c>
      <c r="B685" t="str">
        <f t="shared" si="7"/>
        <v>I0023M2009-Q1</v>
      </c>
      <c r="C685" t="s">
        <v>41</v>
      </c>
      <c r="D685" t="s">
        <v>44</v>
      </c>
      <c r="E685">
        <v>7.5</v>
      </c>
      <c r="F685" s="4" t="s">
        <v>607</v>
      </c>
    </row>
    <row r="686" spans="1:6" x14ac:dyDescent="0.25">
      <c r="A686" t="s">
        <v>481</v>
      </c>
      <c r="B686" t="str">
        <f t="shared" si="7"/>
        <v>I0023M2009-Q2</v>
      </c>
      <c r="C686" t="s">
        <v>42</v>
      </c>
      <c r="D686" t="s">
        <v>45</v>
      </c>
      <c r="E686">
        <v>7.2</v>
      </c>
    </row>
    <row r="687" spans="1:6" x14ac:dyDescent="0.25">
      <c r="A687" t="s">
        <v>481</v>
      </c>
      <c r="B687" t="str">
        <f t="shared" si="7"/>
        <v>I0023M2009-Q3</v>
      </c>
      <c r="C687" t="s">
        <v>43</v>
      </c>
      <c r="D687" t="s">
        <v>46</v>
      </c>
      <c r="E687">
        <v>6.5</v>
      </c>
    </row>
    <row r="688" spans="1:6" x14ac:dyDescent="0.25">
      <c r="A688" t="s">
        <v>481</v>
      </c>
      <c r="B688" t="str">
        <f t="shared" si="7"/>
        <v>I0023M2009-Q4</v>
      </c>
      <c r="C688" t="s">
        <v>40</v>
      </c>
      <c r="D688" t="s">
        <v>47</v>
      </c>
      <c r="E688">
        <v>6.35</v>
      </c>
    </row>
    <row r="689" spans="1:5" x14ac:dyDescent="0.25">
      <c r="A689" t="s">
        <v>481</v>
      </c>
      <c r="B689" t="str">
        <f t="shared" si="7"/>
        <v>I0023M2010-Q1</v>
      </c>
      <c r="C689" t="s">
        <v>19</v>
      </c>
      <c r="D689" t="s">
        <v>24</v>
      </c>
      <c r="E689">
        <v>5.5</v>
      </c>
    </row>
    <row r="690" spans="1:5" x14ac:dyDescent="0.25">
      <c r="A690" t="s">
        <v>481</v>
      </c>
      <c r="B690" t="str">
        <f t="shared" si="7"/>
        <v>I0023M2010-Q2</v>
      </c>
      <c r="C690" t="s">
        <v>20</v>
      </c>
      <c r="D690" t="s">
        <v>23</v>
      </c>
      <c r="E690">
        <v>5.4</v>
      </c>
    </row>
    <row r="691" spans="1:5" x14ac:dyDescent="0.25">
      <c r="A691" t="s">
        <v>481</v>
      </c>
      <c r="B691" t="str">
        <f t="shared" si="7"/>
        <v>I0023M2010-Q3</v>
      </c>
      <c r="C691" t="s">
        <v>21</v>
      </c>
      <c r="D691" t="s">
        <v>22</v>
      </c>
      <c r="E691">
        <v>5.01</v>
      </c>
    </row>
    <row r="692" spans="1:5" x14ac:dyDescent="0.25">
      <c r="A692" t="s">
        <v>481</v>
      </c>
      <c r="B692" t="str">
        <f t="shared" si="7"/>
        <v>I0023M2010-Q4</v>
      </c>
      <c r="C692" t="s">
        <v>11</v>
      </c>
      <c r="D692" t="s">
        <v>2</v>
      </c>
      <c r="E692">
        <v>4.58</v>
      </c>
    </row>
    <row r="693" spans="1:5" x14ac:dyDescent="0.25">
      <c r="A693" t="s">
        <v>481</v>
      </c>
      <c r="B693" t="str">
        <f t="shared" si="7"/>
        <v>I0023M2011-Q1</v>
      </c>
      <c r="C693" t="s">
        <v>12</v>
      </c>
      <c r="D693" t="s">
        <v>16</v>
      </c>
      <c r="E693">
        <v>4.4000000000000004</v>
      </c>
    </row>
    <row r="694" spans="1:5" x14ac:dyDescent="0.25">
      <c r="A694" t="s">
        <v>481</v>
      </c>
      <c r="B694" t="str">
        <f t="shared" si="7"/>
        <v>I0023M2011-Q2</v>
      </c>
      <c r="C694" t="s">
        <v>13</v>
      </c>
      <c r="D694" t="s">
        <v>18</v>
      </c>
      <c r="E694">
        <v>4.21</v>
      </c>
    </row>
    <row r="695" spans="1:5" x14ac:dyDescent="0.25">
      <c r="A695" t="s">
        <v>481</v>
      </c>
      <c r="B695" t="str">
        <f t="shared" si="7"/>
        <v>I0023M2011-Q3</v>
      </c>
      <c r="C695" t="s">
        <v>14</v>
      </c>
      <c r="D695" t="s">
        <v>17</v>
      </c>
      <c r="E695">
        <v>3.85</v>
      </c>
    </row>
    <row r="696" spans="1:5" x14ac:dyDescent="0.25">
      <c r="A696" t="s">
        <v>481</v>
      </c>
      <c r="B696" t="str">
        <f t="shared" si="7"/>
        <v>I0023M2011-Q4</v>
      </c>
      <c r="C696" t="s">
        <v>15</v>
      </c>
      <c r="D696" t="s">
        <v>3</v>
      </c>
      <c r="E696">
        <v>3.6</v>
      </c>
    </row>
    <row r="697" spans="1:5" x14ac:dyDescent="0.25">
      <c r="A697" t="s">
        <v>481</v>
      </c>
      <c r="B697" t="str">
        <f t="shared" si="7"/>
        <v>I0023M2012-Q1</v>
      </c>
      <c r="C697" t="s">
        <v>418</v>
      </c>
      <c r="D697" t="s">
        <v>415</v>
      </c>
      <c r="E697">
        <v>3.3</v>
      </c>
    </row>
    <row r="698" spans="1:5" x14ac:dyDescent="0.25">
      <c r="A698" t="s">
        <v>481</v>
      </c>
      <c r="B698" t="str">
        <f t="shared" si="7"/>
        <v>I0023M2012-Q2</v>
      </c>
      <c r="C698" t="s">
        <v>419</v>
      </c>
      <c r="D698" t="s">
        <v>416</v>
      </c>
      <c r="E698">
        <v>3</v>
      </c>
    </row>
    <row r="699" spans="1:5" x14ac:dyDescent="0.25">
      <c r="A699" t="s">
        <v>481</v>
      </c>
      <c r="B699" t="str">
        <f t="shared" si="7"/>
        <v>I0023M2012-Q3</v>
      </c>
      <c r="C699" t="s">
        <v>420</v>
      </c>
      <c r="D699" t="s">
        <v>417</v>
      </c>
      <c r="E699">
        <v>3.2</v>
      </c>
    </row>
    <row r="700" spans="1:5" x14ac:dyDescent="0.25">
      <c r="A700" t="s">
        <v>481</v>
      </c>
      <c r="B700" t="str">
        <f t="shared" si="7"/>
        <v>I0023M2012-Q4</v>
      </c>
      <c r="C700" t="s">
        <v>451</v>
      </c>
      <c r="D700" t="s">
        <v>450</v>
      </c>
      <c r="E700">
        <v>3.3</v>
      </c>
    </row>
    <row r="701" spans="1:5" x14ac:dyDescent="0.25">
      <c r="A701" t="s">
        <v>481</v>
      </c>
      <c r="B701" t="str">
        <f t="shared" si="7"/>
        <v>I0023M2013-Q1</v>
      </c>
      <c r="C701" t="s">
        <v>452</v>
      </c>
      <c r="D701" t="s">
        <v>439</v>
      </c>
      <c r="E701">
        <v>3.2</v>
      </c>
    </row>
    <row r="702" spans="1:5" x14ac:dyDescent="0.25">
      <c r="A702" t="s">
        <v>481</v>
      </c>
      <c r="B702" t="str">
        <f t="shared" si="7"/>
        <v>I0023M2013-Q2</v>
      </c>
      <c r="C702" t="s">
        <v>453</v>
      </c>
      <c r="D702" t="s">
        <v>442</v>
      </c>
      <c r="E702">
        <v>3.1</v>
      </c>
    </row>
    <row r="703" spans="1:5" x14ac:dyDescent="0.25">
      <c r="A703" t="s">
        <v>481</v>
      </c>
      <c r="B703" t="str">
        <f t="shared" si="7"/>
        <v>I0023M2013-Q3</v>
      </c>
      <c r="C703" t="s">
        <v>454</v>
      </c>
      <c r="D703" t="s">
        <v>445</v>
      </c>
      <c r="E703">
        <v>3.1</v>
      </c>
    </row>
    <row r="704" spans="1:5" x14ac:dyDescent="0.25">
      <c r="A704" t="s">
        <v>481</v>
      </c>
      <c r="B704" t="str">
        <f t="shared" si="7"/>
        <v>I0023M2013-Q4</v>
      </c>
      <c r="C704" t="s">
        <v>455</v>
      </c>
      <c r="D704" t="s">
        <v>436</v>
      </c>
      <c r="E704">
        <v>2.9</v>
      </c>
    </row>
    <row r="705" spans="1:6" x14ac:dyDescent="0.25">
      <c r="A705" t="s">
        <v>481</v>
      </c>
      <c r="B705" t="str">
        <f t="shared" si="7"/>
        <v>I0023M2014-Q1</v>
      </c>
      <c r="C705" t="s">
        <v>456</v>
      </c>
      <c r="D705" t="s">
        <v>430</v>
      </c>
      <c r="E705">
        <v>2.8</v>
      </c>
    </row>
    <row r="706" spans="1:6" x14ac:dyDescent="0.25">
      <c r="A706" t="s">
        <v>481</v>
      </c>
      <c r="B706" t="str">
        <f t="shared" si="7"/>
        <v>I0023M2014-Q2</v>
      </c>
      <c r="C706" t="s">
        <v>457</v>
      </c>
      <c r="D706" t="s">
        <v>433</v>
      </c>
      <c r="E706">
        <v>2.6</v>
      </c>
    </row>
    <row r="707" spans="1:6" x14ac:dyDescent="0.25">
      <c r="A707" t="s">
        <v>481</v>
      </c>
      <c r="B707" t="str">
        <f t="shared" si="7"/>
        <v>I0023M2014-Q3</v>
      </c>
      <c r="C707" t="s">
        <v>458</v>
      </c>
      <c r="D707" t="s">
        <v>427</v>
      </c>
      <c r="E707">
        <v>2</v>
      </c>
    </row>
    <row r="708" spans="1:6" x14ac:dyDescent="0.25">
      <c r="A708" t="s">
        <v>481</v>
      </c>
      <c r="B708" t="str">
        <f t="shared" si="7"/>
        <v>I0023M2014-Q4</v>
      </c>
      <c r="C708" t="s">
        <v>486</v>
      </c>
      <c r="D708" t="s">
        <v>557</v>
      </c>
      <c r="E708">
        <v>1.8</v>
      </c>
    </row>
    <row r="709" spans="1:6" x14ac:dyDescent="0.25">
      <c r="A709" t="s">
        <v>481</v>
      </c>
      <c r="B709" t="str">
        <f t="shared" si="7"/>
        <v>I0023M2015-Q1</v>
      </c>
      <c r="C709" t="s">
        <v>558</v>
      </c>
      <c r="D709" t="s">
        <v>559</v>
      </c>
      <c r="E709">
        <v>1.7</v>
      </c>
    </row>
    <row r="710" spans="1:6" x14ac:dyDescent="0.25">
      <c r="A710" t="s">
        <v>481</v>
      </c>
      <c r="B710" t="str">
        <f t="shared" si="7"/>
        <v>I0023M2015-Q2</v>
      </c>
      <c r="C710" t="s">
        <v>560</v>
      </c>
      <c r="D710" t="s">
        <v>561</v>
      </c>
      <c r="E710">
        <v>1.65</v>
      </c>
    </row>
    <row r="711" spans="1:6" x14ac:dyDescent="0.25">
      <c r="A711" t="s">
        <v>481</v>
      </c>
      <c r="B711" t="str">
        <f t="shared" si="7"/>
        <v>I0023M2015-Q3</v>
      </c>
      <c r="C711" t="s">
        <v>562</v>
      </c>
      <c r="D711" t="s">
        <v>563</v>
      </c>
      <c r="E711">
        <v>1.55</v>
      </c>
    </row>
    <row r="712" spans="1:6" x14ac:dyDescent="0.25">
      <c r="A712" t="s">
        <v>481</v>
      </c>
      <c r="B712" t="str">
        <f t="shared" si="7"/>
        <v>I0023M2015-Q4</v>
      </c>
      <c r="C712" t="s">
        <v>564</v>
      </c>
      <c r="D712" t="s">
        <v>565</v>
      </c>
      <c r="E712">
        <v>1.6</v>
      </c>
    </row>
    <row r="713" spans="1:6" x14ac:dyDescent="0.25">
      <c r="A713" t="s">
        <v>481</v>
      </c>
      <c r="B713" t="str">
        <f t="shared" si="7"/>
        <v>I0023M2016-Q1</v>
      </c>
      <c r="C713" t="s">
        <v>629</v>
      </c>
      <c r="D713" t="s">
        <v>628</v>
      </c>
      <c r="E713">
        <v>1.61</v>
      </c>
    </row>
    <row r="714" spans="1:6" x14ac:dyDescent="0.25">
      <c r="A714" t="s">
        <v>481</v>
      </c>
      <c r="B714" t="str">
        <f t="shared" si="7"/>
        <v>I0023M2016-Q2</v>
      </c>
      <c r="C714" t="s">
        <v>630</v>
      </c>
      <c r="D714" t="s">
        <v>631</v>
      </c>
      <c r="E714">
        <v>1.7</v>
      </c>
    </row>
    <row r="715" spans="1:6" x14ac:dyDescent="0.25">
      <c r="A715" t="s">
        <v>481</v>
      </c>
      <c r="B715" t="str">
        <f t="shared" si="7"/>
        <v>I0023M2016-Q3</v>
      </c>
      <c r="C715" t="s">
        <v>632</v>
      </c>
      <c r="D715" t="s">
        <v>633</v>
      </c>
      <c r="E715">
        <v>1.55</v>
      </c>
    </row>
    <row r="716" spans="1:6" x14ac:dyDescent="0.25">
      <c r="A716" t="s">
        <v>481</v>
      </c>
      <c r="B716" t="str">
        <f t="shared" si="7"/>
        <v>I0023M2016-Q4</v>
      </c>
      <c r="C716" t="s">
        <v>634</v>
      </c>
      <c r="D716" t="s">
        <v>635</v>
      </c>
      <c r="E716">
        <v>1.54</v>
      </c>
    </row>
    <row r="717" spans="1:6" x14ac:dyDescent="0.25">
      <c r="A717" t="s">
        <v>481</v>
      </c>
      <c r="B717" t="str">
        <f t="shared" si="7"/>
        <v>I0023M2017-Q1</v>
      </c>
      <c r="C717" t="s">
        <v>636</v>
      </c>
      <c r="D717" t="s">
        <v>637</v>
      </c>
      <c r="E717">
        <v>1.4</v>
      </c>
    </row>
    <row r="718" spans="1:6" x14ac:dyDescent="0.25">
      <c r="A718" t="s">
        <v>482</v>
      </c>
      <c r="B718" t="str">
        <f t="shared" si="7"/>
        <v>I0024M2009</v>
      </c>
      <c r="C718">
        <v>2009</v>
      </c>
      <c r="D718" t="s">
        <v>47</v>
      </c>
      <c r="E718">
        <v>45</v>
      </c>
      <c r="F718" t="s">
        <v>217</v>
      </c>
    </row>
    <row r="719" spans="1:6" x14ac:dyDescent="0.25">
      <c r="A719" t="s">
        <v>482</v>
      </c>
      <c r="B719" t="str">
        <f t="shared" si="7"/>
        <v>I0024M2010</v>
      </c>
      <c r="C719">
        <v>2010</v>
      </c>
      <c r="D719" t="s">
        <v>2</v>
      </c>
      <c r="E719">
        <v>77</v>
      </c>
    </row>
    <row r="720" spans="1:6" x14ac:dyDescent="0.25">
      <c r="A720" t="s">
        <v>482</v>
      </c>
      <c r="B720" t="str">
        <f t="shared" si="7"/>
        <v>I0024M2011</v>
      </c>
      <c r="C720">
        <v>2011</v>
      </c>
      <c r="D720" t="s">
        <v>3</v>
      </c>
      <c r="E720">
        <v>90</v>
      </c>
    </row>
    <row r="721" spans="1:6" x14ac:dyDescent="0.25">
      <c r="A721" t="s">
        <v>482</v>
      </c>
      <c r="B721" t="str">
        <f t="shared" si="7"/>
        <v>I0024M2012</v>
      </c>
      <c r="C721">
        <v>2012</v>
      </c>
      <c r="D721" t="s">
        <v>450</v>
      </c>
      <c r="E721">
        <v>91</v>
      </c>
    </row>
    <row r="722" spans="1:6" x14ac:dyDescent="0.25">
      <c r="A722" t="s">
        <v>482</v>
      </c>
      <c r="B722" t="str">
        <f t="shared" si="7"/>
        <v>I0024M2013</v>
      </c>
      <c r="C722">
        <v>2013</v>
      </c>
      <c r="D722" t="s">
        <v>436</v>
      </c>
      <c r="E722">
        <v>93</v>
      </c>
    </row>
    <row r="723" spans="1:6" x14ac:dyDescent="0.25">
      <c r="A723" t="s">
        <v>482</v>
      </c>
      <c r="B723" t="str">
        <f t="shared" si="7"/>
        <v>I0024M2014</v>
      </c>
      <c r="C723">
        <v>2014</v>
      </c>
      <c r="D723" t="s">
        <v>557</v>
      </c>
      <c r="E723">
        <v>96</v>
      </c>
    </row>
    <row r="724" spans="1:6" x14ac:dyDescent="0.25">
      <c r="A724" t="s">
        <v>482</v>
      </c>
      <c r="B724" t="str">
        <f t="shared" si="7"/>
        <v>I0024M2015</v>
      </c>
      <c r="C724">
        <v>2015</v>
      </c>
      <c r="D724" t="s">
        <v>565</v>
      </c>
      <c r="E724">
        <v>97</v>
      </c>
    </row>
    <row r="725" spans="1:6" x14ac:dyDescent="0.25">
      <c r="A725" t="s">
        <v>482</v>
      </c>
      <c r="B725" t="str">
        <f t="shared" si="7"/>
        <v>I0024M2016</v>
      </c>
      <c r="C725">
        <v>2016</v>
      </c>
      <c r="D725" t="s">
        <v>635</v>
      </c>
      <c r="E725">
        <v>95</v>
      </c>
    </row>
    <row r="726" spans="1:6" x14ac:dyDescent="0.25">
      <c r="A726" t="s">
        <v>483</v>
      </c>
      <c r="B726" t="str">
        <f t="shared" si="7"/>
        <v>I0025M2009-Q1</v>
      </c>
      <c r="C726" t="s">
        <v>41</v>
      </c>
      <c r="D726" t="s">
        <v>44</v>
      </c>
      <c r="E726">
        <v>12</v>
      </c>
      <c r="F726" s="4" t="s">
        <v>608</v>
      </c>
    </row>
    <row r="727" spans="1:6" x14ac:dyDescent="0.25">
      <c r="A727" t="s">
        <v>483</v>
      </c>
      <c r="B727" t="str">
        <f t="shared" si="7"/>
        <v>I0025M2009-Q2</v>
      </c>
      <c r="C727" t="s">
        <v>42</v>
      </c>
      <c r="D727" t="s">
        <v>45</v>
      </c>
      <c r="E727">
        <v>14</v>
      </c>
    </row>
    <row r="728" spans="1:6" x14ac:dyDescent="0.25">
      <c r="A728" t="s">
        <v>483</v>
      </c>
      <c r="B728" t="str">
        <f t="shared" si="7"/>
        <v>I0025M2009-Q3</v>
      </c>
      <c r="C728" t="s">
        <v>43</v>
      </c>
      <c r="D728" t="s">
        <v>46</v>
      </c>
      <c r="E728">
        <v>16</v>
      </c>
    </row>
    <row r="729" spans="1:6" x14ac:dyDescent="0.25">
      <c r="A729" t="s">
        <v>483</v>
      </c>
      <c r="B729" t="str">
        <f t="shared" si="7"/>
        <v>I0025M2009-Q4</v>
      </c>
      <c r="C729" t="s">
        <v>40</v>
      </c>
      <c r="D729" t="s">
        <v>47</v>
      </c>
      <c r="E729">
        <v>20</v>
      </c>
    </row>
    <row r="730" spans="1:6" x14ac:dyDescent="0.25">
      <c r="A730" t="s">
        <v>483</v>
      </c>
      <c r="B730" t="str">
        <f t="shared" si="7"/>
        <v>I0025M2010-Q1</v>
      </c>
      <c r="C730" t="s">
        <v>19</v>
      </c>
      <c r="D730" t="s">
        <v>24</v>
      </c>
      <c r="E730">
        <v>22</v>
      </c>
    </row>
    <row r="731" spans="1:6" x14ac:dyDescent="0.25">
      <c r="A731" t="s">
        <v>483</v>
      </c>
      <c r="B731" t="str">
        <f t="shared" si="7"/>
        <v>I0025M2010-Q2</v>
      </c>
      <c r="C731" t="s">
        <v>20</v>
      </c>
      <c r="D731" t="s">
        <v>23</v>
      </c>
      <c r="E731">
        <v>24</v>
      </c>
    </row>
    <row r="732" spans="1:6" x14ac:dyDescent="0.25">
      <c r="A732" t="s">
        <v>483</v>
      </c>
      <c r="B732" t="str">
        <f t="shared" si="7"/>
        <v>I0025M2010-Q3</v>
      </c>
      <c r="C732" t="s">
        <v>21</v>
      </c>
      <c r="D732" t="s">
        <v>22</v>
      </c>
      <c r="E732">
        <v>22</v>
      </c>
    </row>
    <row r="733" spans="1:6" x14ac:dyDescent="0.25">
      <c r="A733" t="s">
        <v>483</v>
      </c>
      <c r="B733" t="str">
        <f t="shared" si="7"/>
        <v>I0025M2010-Q4</v>
      </c>
      <c r="C733" t="s">
        <v>11</v>
      </c>
      <c r="D733" t="s">
        <v>2</v>
      </c>
      <c r="E733">
        <v>24</v>
      </c>
    </row>
    <row r="734" spans="1:6" x14ac:dyDescent="0.25">
      <c r="A734" t="s">
        <v>483</v>
      </c>
      <c r="B734" t="str">
        <f t="shared" si="7"/>
        <v>I0025M2011-Q1</v>
      </c>
      <c r="C734" t="s">
        <v>12</v>
      </c>
      <c r="D734" t="s">
        <v>16</v>
      </c>
      <c r="E734">
        <v>28</v>
      </c>
    </row>
    <row r="735" spans="1:6" x14ac:dyDescent="0.25">
      <c r="A735" t="s">
        <v>483</v>
      </c>
      <c r="B735" t="str">
        <f t="shared" si="7"/>
        <v>I0025M2011-Q2</v>
      </c>
      <c r="C735" t="s">
        <v>13</v>
      </c>
      <c r="D735" t="s">
        <v>18</v>
      </c>
      <c r="E735">
        <v>28</v>
      </c>
    </row>
    <row r="736" spans="1:6" x14ac:dyDescent="0.25">
      <c r="A736" t="s">
        <v>483</v>
      </c>
      <c r="B736" t="str">
        <f t="shared" si="7"/>
        <v>I0025M2011-Q3</v>
      </c>
      <c r="C736" t="s">
        <v>14</v>
      </c>
      <c r="D736" t="s">
        <v>17</v>
      </c>
      <c r="E736">
        <v>30</v>
      </c>
    </row>
    <row r="737" spans="1:5" x14ac:dyDescent="0.25">
      <c r="A737" t="s">
        <v>483</v>
      </c>
      <c r="B737" t="str">
        <f t="shared" si="7"/>
        <v>I0025M2011-Q4</v>
      </c>
      <c r="C737" t="s">
        <v>15</v>
      </c>
      <c r="D737" t="s">
        <v>3</v>
      </c>
      <c r="E737">
        <v>33</v>
      </c>
    </row>
    <row r="738" spans="1:5" x14ac:dyDescent="0.25">
      <c r="A738" t="s">
        <v>483</v>
      </c>
      <c r="B738" t="str">
        <f t="shared" si="7"/>
        <v>I0025M2012-Q1</v>
      </c>
      <c r="C738" t="s">
        <v>418</v>
      </c>
      <c r="D738" t="s">
        <v>415</v>
      </c>
      <c r="E738">
        <v>34</v>
      </c>
    </row>
    <row r="739" spans="1:5" x14ac:dyDescent="0.25">
      <c r="A739" t="s">
        <v>483</v>
      </c>
      <c r="B739" t="str">
        <f t="shared" ref="B739:B863" si="8">CONCATENATE(A739,"M",C739)</f>
        <v>I0025M2012-Q2</v>
      </c>
      <c r="C739" t="s">
        <v>419</v>
      </c>
      <c r="D739" t="s">
        <v>416</v>
      </c>
      <c r="E739">
        <v>36</v>
      </c>
    </row>
    <row r="740" spans="1:5" x14ac:dyDescent="0.25">
      <c r="A740" t="s">
        <v>483</v>
      </c>
      <c r="B740" t="str">
        <f t="shared" si="8"/>
        <v>I0025M2012-Q3</v>
      </c>
      <c r="C740" t="s">
        <v>420</v>
      </c>
      <c r="D740" t="s">
        <v>417</v>
      </c>
      <c r="E740">
        <v>36</v>
      </c>
    </row>
    <row r="741" spans="1:5" x14ac:dyDescent="0.25">
      <c r="A741" t="s">
        <v>483</v>
      </c>
      <c r="B741" t="str">
        <f t="shared" si="8"/>
        <v>I0025M2012-Q4</v>
      </c>
      <c r="C741" t="s">
        <v>451</v>
      </c>
      <c r="D741" t="s">
        <v>450</v>
      </c>
      <c r="E741">
        <v>38</v>
      </c>
    </row>
    <row r="742" spans="1:5" x14ac:dyDescent="0.25">
      <c r="A742" t="s">
        <v>483</v>
      </c>
      <c r="B742" t="str">
        <f t="shared" si="8"/>
        <v>I0025M2013-Q1</v>
      </c>
      <c r="C742" t="s">
        <v>452</v>
      </c>
      <c r="D742" t="s">
        <v>439</v>
      </c>
      <c r="E742">
        <v>34</v>
      </c>
    </row>
    <row r="743" spans="1:5" x14ac:dyDescent="0.25">
      <c r="A743" t="s">
        <v>483</v>
      </c>
      <c r="B743" t="str">
        <f t="shared" si="8"/>
        <v>I0025M2013-Q2</v>
      </c>
      <c r="C743" t="s">
        <v>453</v>
      </c>
      <c r="D743" t="s">
        <v>442</v>
      </c>
      <c r="E743">
        <v>40</v>
      </c>
    </row>
    <row r="744" spans="1:5" x14ac:dyDescent="0.25">
      <c r="A744" t="s">
        <v>483</v>
      </c>
      <c r="B744" t="str">
        <f t="shared" si="8"/>
        <v>I0025M2013-Q3</v>
      </c>
      <c r="C744" t="s">
        <v>454</v>
      </c>
      <c r="D744" t="s">
        <v>445</v>
      </c>
      <c r="E744">
        <v>42</v>
      </c>
    </row>
    <row r="745" spans="1:5" x14ac:dyDescent="0.25">
      <c r="A745" t="s">
        <v>483</v>
      </c>
      <c r="B745" t="str">
        <f t="shared" si="8"/>
        <v>I0025M2013-Q4</v>
      </c>
      <c r="C745" t="s">
        <v>455</v>
      </c>
      <c r="D745" t="s">
        <v>436</v>
      </c>
      <c r="E745">
        <v>44</v>
      </c>
    </row>
    <row r="746" spans="1:5" x14ac:dyDescent="0.25">
      <c r="A746" t="s">
        <v>483</v>
      </c>
      <c r="B746" t="str">
        <f t="shared" si="8"/>
        <v>I0025M2014-Q1</v>
      </c>
      <c r="C746" t="s">
        <v>456</v>
      </c>
      <c r="D746" t="s">
        <v>430</v>
      </c>
      <c r="E746">
        <v>44</v>
      </c>
    </row>
    <row r="747" spans="1:5" x14ac:dyDescent="0.25">
      <c r="A747" t="s">
        <v>483</v>
      </c>
      <c r="B747" t="str">
        <f t="shared" si="8"/>
        <v>I0025M2014-Q2</v>
      </c>
      <c r="C747" t="s">
        <v>457</v>
      </c>
      <c r="D747" t="s">
        <v>433</v>
      </c>
      <c r="E747">
        <v>48</v>
      </c>
    </row>
    <row r="748" spans="1:5" x14ac:dyDescent="0.25">
      <c r="A748" t="s">
        <v>483</v>
      </c>
      <c r="B748" t="str">
        <f t="shared" si="8"/>
        <v>I0025M2014-Q3</v>
      </c>
      <c r="C748" t="s">
        <v>458</v>
      </c>
      <c r="D748" t="s">
        <v>427</v>
      </c>
      <c r="E748">
        <v>52</v>
      </c>
    </row>
    <row r="749" spans="1:5" x14ac:dyDescent="0.25">
      <c r="A749" t="s">
        <v>483</v>
      </c>
      <c r="B749" t="str">
        <f t="shared" si="8"/>
        <v>I0025M2014-Q4</v>
      </c>
      <c r="C749" t="s">
        <v>486</v>
      </c>
      <c r="D749" t="s">
        <v>557</v>
      </c>
      <c r="E749">
        <v>53</v>
      </c>
    </row>
    <row r="750" spans="1:5" x14ac:dyDescent="0.25">
      <c r="A750" t="s">
        <v>483</v>
      </c>
      <c r="B750" t="str">
        <f t="shared" si="8"/>
        <v>I0025M2015-Q1</v>
      </c>
      <c r="C750" t="s">
        <v>558</v>
      </c>
      <c r="D750" t="s">
        <v>559</v>
      </c>
      <c r="E750">
        <v>54</v>
      </c>
    </row>
    <row r="751" spans="1:5" x14ac:dyDescent="0.25">
      <c r="A751" t="s">
        <v>483</v>
      </c>
      <c r="B751" t="str">
        <f t="shared" si="8"/>
        <v>I0025M2015-Q2</v>
      </c>
      <c r="C751" t="s">
        <v>560</v>
      </c>
      <c r="D751" t="s">
        <v>561</v>
      </c>
      <c r="E751">
        <v>56</v>
      </c>
    </row>
    <row r="752" spans="1:5" x14ac:dyDescent="0.25">
      <c r="A752" t="s">
        <v>483</v>
      </c>
      <c r="B752" t="str">
        <f t="shared" si="8"/>
        <v>I0025M2015-Q3</v>
      </c>
      <c r="C752" t="s">
        <v>562</v>
      </c>
      <c r="D752" t="s">
        <v>563</v>
      </c>
      <c r="E752">
        <v>58</v>
      </c>
    </row>
    <row r="753" spans="1:6" x14ac:dyDescent="0.25">
      <c r="A753" t="s">
        <v>483</v>
      </c>
      <c r="B753" t="str">
        <f t="shared" si="8"/>
        <v>I0025M2015-Q4</v>
      </c>
      <c r="C753" t="s">
        <v>564</v>
      </c>
      <c r="D753" t="s">
        <v>565</v>
      </c>
      <c r="E753">
        <v>60</v>
      </c>
    </row>
    <row r="754" spans="1:6" x14ac:dyDescent="0.25">
      <c r="A754" t="s">
        <v>483</v>
      </c>
      <c r="B754" t="str">
        <f t="shared" si="8"/>
        <v>I0025M2016-Q1</v>
      </c>
      <c r="C754" t="s">
        <v>629</v>
      </c>
      <c r="D754" t="s">
        <v>628</v>
      </c>
      <c r="E754">
        <v>60</v>
      </c>
    </row>
    <row r="755" spans="1:6" x14ac:dyDescent="0.25">
      <c r="A755" t="s">
        <v>483</v>
      </c>
      <c r="B755" t="str">
        <f t="shared" si="8"/>
        <v>I0025M2016-Q2</v>
      </c>
      <c r="C755" t="s">
        <v>630</v>
      </c>
      <c r="D755" t="s">
        <v>631</v>
      </c>
      <c r="E755">
        <v>60</v>
      </c>
    </row>
    <row r="756" spans="1:6" x14ac:dyDescent="0.25">
      <c r="A756" t="s">
        <v>483</v>
      </c>
      <c r="B756" t="str">
        <f t="shared" si="8"/>
        <v>I0025M2016-Q3</v>
      </c>
      <c r="C756" t="s">
        <v>632</v>
      </c>
      <c r="D756" t="s">
        <v>633</v>
      </c>
      <c r="E756">
        <v>60</v>
      </c>
    </row>
    <row r="757" spans="1:6" x14ac:dyDescent="0.25">
      <c r="A757" t="s">
        <v>483</v>
      </c>
      <c r="B757" t="str">
        <f t="shared" si="8"/>
        <v>I0025M2016-Q4</v>
      </c>
      <c r="C757" t="s">
        <v>634</v>
      </c>
      <c r="D757" t="s">
        <v>635</v>
      </c>
      <c r="E757">
        <v>60</v>
      </c>
    </row>
    <row r="758" spans="1:6" x14ac:dyDescent="0.25">
      <c r="A758" t="s">
        <v>483</v>
      </c>
      <c r="B758" t="str">
        <f t="shared" si="8"/>
        <v>I0025M2017-Q1</v>
      </c>
      <c r="C758" t="s">
        <v>636</v>
      </c>
      <c r="D758" t="s">
        <v>637</v>
      </c>
      <c r="E758">
        <v>61</v>
      </c>
    </row>
    <row r="759" spans="1:6" x14ac:dyDescent="0.25">
      <c r="A759" t="s">
        <v>592</v>
      </c>
      <c r="B759" t="str">
        <f t="shared" si="8"/>
        <v>I0041M2009-Q1</v>
      </c>
      <c r="C759" t="s">
        <v>41</v>
      </c>
      <c r="D759" t="s">
        <v>44</v>
      </c>
      <c r="E759">
        <v>11.5</v>
      </c>
      <c r="F759" s="4" t="s">
        <v>593</v>
      </c>
    </row>
    <row r="760" spans="1:6" x14ac:dyDescent="0.25">
      <c r="A760" t="s">
        <v>592</v>
      </c>
      <c r="B760" t="str">
        <f t="shared" si="8"/>
        <v>I0041M2009-Q2</v>
      </c>
      <c r="C760" t="s">
        <v>42</v>
      </c>
      <c r="D760" t="s">
        <v>45</v>
      </c>
      <c r="E760">
        <v>11</v>
      </c>
    </row>
    <row r="761" spans="1:6" x14ac:dyDescent="0.25">
      <c r="A761" t="s">
        <v>592</v>
      </c>
      <c r="B761" t="str">
        <f t="shared" si="8"/>
        <v>I0041M2009-Q3</v>
      </c>
      <c r="C761" t="s">
        <v>43</v>
      </c>
      <c r="D761" t="s">
        <v>46</v>
      </c>
      <c r="E761">
        <v>12</v>
      </c>
    </row>
    <row r="762" spans="1:6" x14ac:dyDescent="0.25">
      <c r="A762" t="s">
        <v>592</v>
      </c>
      <c r="B762" t="str">
        <f t="shared" si="8"/>
        <v>I0041M2009-Q4</v>
      </c>
      <c r="C762" t="s">
        <v>40</v>
      </c>
      <c r="D762" t="s">
        <v>47</v>
      </c>
      <c r="E762">
        <v>11</v>
      </c>
    </row>
    <row r="763" spans="1:6" x14ac:dyDescent="0.25">
      <c r="A763" t="s">
        <v>592</v>
      </c>
      <c r="B763" t="str">
        <f t="shared" si="8"/>
        <v>I0041M2010-Q1</v>
      </c>
      <c r="C763" t="s">
        <v>19</v>
      </c>
      <c r="D763" t="s">
        <v>24</v>
      </c>
      <c r="E763">
        <v>11.5</v>
      </c>
    </row>
    <row r="764" spans="1:6" x14ac:dyDescent="0.25">
      <c r="A764" t="s">
        <v>592</v>
      </c>
      <c r="B764" t="str">
        <f t="shared" si="8"/>
        <v>I0041M2010-Q2</v>
      </c>
      <c r="C764" t="s">
        <v>20</v>
      </c>
      <c r="D764" t="s">
        <v>23</v>
      </c>
      <c r="E764">
        <v>11</v>
      </c>
    </row>
    <row r="765" spans="1:6" x14ac:dyDescent="0.25">
      <c r="A765" t="s">
        <v>592</v>
      </c>
      <c r="B765" t="str">
        <f t="shared" si="8"/>
        <v>I0041M2010-Q3</v>
      </c>
      <c r="C765" t="s">
        <v>21</v>
      </c>
      <c r="D765" t="s">
        <v>22</v>
      </c>
      <c r="E765">
        <v>12</v>
      </c>
    </row>
    <row r="766" spans="1:6" x14ac:dyDescent="0.25">
      <c r="A766" t="s">
        <v>592</v>
      </c>
      <c r="B766" t="str">
        <f t="shared" si="8"/>
        <v>I0041M2010-Q4</v>
      </c>
      <c r="C766" t="s">
        <v>11</v>
      </c>
      <c r="D766" t="s">
        <v>2</v>
      </c>
      <c r="E766">
        <v>12.5</v>
      </c>
    </row>
    <row r="767" spans="1:6" x14ac:dyDescent="0.25">
      <c r="A767" t="s">
        <v>592</v>
      </c>
      <c r="B767" t="str">
        <f t="shared" si="8"/>
        <v>I0041M2011-Q1</v>
      </c>
      <c r="C767" t="s">
        <v>12</v>
      </c>
      <c r="D767" t="s">
        <v>16</v>
      </c>
      <c r="E767">
        <v>13</v>
      </c>
    </row>
    <row r="768" spans="1:6" x14ac:dyDescent="0.25">
      <c r="A768" t="s">
        <v>592</v>
      </c>
      <c r="B768" t="str">
        <f t="shared" si="8"/>
        <v>I0041M2011-Q2</v>
      </c>
      <c r="C768" t="s">
        <v>13</v>
      </c>
      <c r="D768" t="s">
        <v>18</v>
      </c>
      <c r="E768">
        <v>15</v>
      </c>
    </row>
    <row r="769" spans="1:5" x14ac:dyDescent="0.25">
      <c r="A769" t="s">
        <v>592</v>
      </c>
      <c r="B769" t="str">
        <f t="shared" si="8"/>
        <v>I0041M2011-Q3</v>
      </c>
      <c r="C769" t="s">
        <v>14</v>
      </c>
      <c r="D769" t="s">
        <v>17</v>
      </c>
      <c r="E769">
        <v>16</v>
      </c>
    </row>
    <row r="770" spans="1:5" x14ac:dyDescent="0.25">
      <c r="A770" t="s">
        <v>592</v>
      </c>
      <c r="B770" t="str">
        <f t="shared" si="8"/>
        <v>I0041M2011-Q4</v>
      </c>
      <c r="C770" t="s">
        <v>15</v>
      </c>
      <c r="D770" t="s">
        <v>3</v>
      </c>
      <c r="E770">
        <v>16</v>
      </c>
    </row>
    <row r="771" spans="1:5" x14ac:dyDescent="0.25">
      <c r="A771" t="s">
        <v>592</v>
      </c>
      <c r="B771" t="str">
        <f t="shared" ref="B771:B782" si="9">CONCATENATE(A771,"M",C771)</f>
        <v>I0041M2012-Q1</v>
      </c>
      <c r="C771" t="s">
        <v>418</v>
      </c>
      <c r="D771" t="s">
        <v>415</v>
      </c>
      <c r="E771">
        <v>17</v>
      </c>
    </row>
    <row r="772" spans="1:5" x14ac:dyDescent="0.25">
      <c r="A772" t="s">
        <v>592</v>
      </c>
      <c r="B772" t="str">
        <f t="shared" si="9"/>
        <v>I0041M2012-Q2</v>
      </c>
      <c r="C772" t="s">
        <v>419</v>
      </c>
      <c r="D772" t="s">
        <v>416</v>
      </c>
      <c r="E772">
        <v>16</v>
      </c>
    </row>
    <row r="773" spans="1:5" x14ac:dyDescent="0.25">
      <c r="A773" t="s">
        <v>592</v>
      </c>
      <c r="B773" t="str">
        <f t="shared" si="9"/>
        <v>I0041M2012-Q3</v>
      </c>
      <c r="C773" t="s">
        <v>420</v>
      </c>
      <c r="D773" t="s">
        <v>417</v>
      </c>
      <c r="E773">
        <v>18</v>
      </c>
    </row>
    <row r="774" spans="1:5" x14ac:dyDescent="0.25">
      <c r="A774" t="s">
        <v>592</v>
      </c>
      <c r="B774" t="str">
        <f t="shared" si="9"/>
        <v>I0041M2012-Q4</v>
      </c>
      <c r="C774" t="s">
        <v>451</v>
      </c>
      <c r="D774" t="s">
        <v>450</v>
      </c>
      <c r="E774">
        <v>14</v>
      </c>
    </row>
    <row r="775" spans="1:5" x14ac:dyDescent="0.25">
      <c r="A775" t="s">
        <v>592</v>
      </c>
      <c r="B775" t="str">
        <f t="shared" si="9"/>
        <v>I0041M2013-Q1</v>
      </c>
      <c r="C775" t="s">
        <v>452</v>
      </c>
      <c r="D775" t="s">
        <v>439</v>
      </c>
      <c r="E775">
        <v>20</v>
      </c>
    </row>
    <row r="776" spans="1:5" x14ac:dyDescent="0.25">
      <c r="A776" t="s">
        <v>592</v>
      </c>
      <c r="B776" t="str">
        <f t="shared" si="9"/>
        <v>I0041M2013-Q2</v>
      </c>
      <c r="C776" t="s">
        <v>453</v>
      </c>
      <c r="D776" t="s">
        <v>442</v>
      </c>
      <c r="E776">
        <v>20</v>
      </c>
    </row>
    <row r="777" spans="1:5" x14ac:dyDescent="0.25">
      <c r="A777" t="s">
        <v>592</v>
      </c>
      <c r="B777" t="str">
        <f t="shared" si="9"/>
        <v>I0041M2013-Q3</v>
      </c>
      <c r="C777" t="s">
        <v>454</v>
      </c>
      <c r="D777" t="s">
        <v>445</v>
      </c>
      <c r="E777">
        <v>19</v>
      </c>
    </row>
    <row r="778" spans="1:5" x14ac:dyDescent="0.25">
      <c r="A778" t="s">
        <v>592</v>
      </c>
      <c r="B778" t="str">
        <f t="shared" si="9"/>
        <v>I0041M2013-Q4</v>
      </c>
      <c r="C778" t="s">
        <v>455</v>
      </c>
      <c r="D778" t="s">
        <v>436</v>
      </c>
      <c r="E778">
        <v>20</v>
      </c>
    </row>
    <row r="779" spans="1:5" x14ac:dyDescent="0.25">
      <c r="A779" t="s">
        <v>592</v>
      </c>
      <c r="B779" t="str">
        <f t="shared" si="9"/>
        <v>I0041M2014-Q1</v>
      </c>
      <c r="C779" t="s">
        <v>456</v>
      </c>
      <c r="D779" t="s">
        <v>430</v>
      </c>
      <c r="E779">
        <v>22</v>
      </c>
    </row>
    <row r="780" spans="1:5" x14ac:dyDescent="0.25">
      <c r="A780" t="s">
        <v>592</v>
      </c>
      <c r="B780" t="str">
        <f t="shared" si="9"/>
        <v>I0041M2014-Q2</v>
      </c>
      <c r="C780" t="s">
        <v>457</v>
      </c>
      <c r="D780" t="s">
        <v>433</v>
      </c>
      <c r="E780">
        <v>24</v>
      </c>
    </row>
    <row r="781" spans="1:5" x14ac:dyDescent="0.25">
      <c r="A781" t="s">
        <v>592</v>
      </c>
      <c r="B781" t="str">
        <f t="shared" si="9"/>
        <v>I0041M2014-Q3</v>
      </c>
      <c r="C781" t="s">
        <v>458</v>
      </c>
      <c r="D781" t="s">
        <v>427</v>
      </c>
      <c r="E781">
        <v>26</v>
      </c>
    </row>
    <row r="782" spans="1:5" x14ac:dyDescent="0.25">
      <c r="A782" t="s">
        <v>592</v>
      </c>
      <c r="B782" t="str">
        <f t="shared" si="9"/>
        <v>I0041M2014-Q4</v>
      </c>
      <c r="C782" t="s">
        <v>486</v>
      </c>
      <c r="D782" t="s">
        <v>557</v>
      </c>
      <c r="E782">
        <v>25</v>
      </c>
    </row>
    <row r="783" spans="1:5" x14ac:dyDescent="0.25">
      <c r="A783" t="s">
        <v>592</v>
      </c>
      <c r="B783" t="str">
        <f t="shared" ref="B783:B791" si="10">CONCATENATE(A783,"M",C783)</f>
        <v>I0041M2015-Q1</v>
      </c>
      <c r="C783" t="s">
        <v>558</v>
      </c>
      <c r="D783" t="s">
        <v>559</v>
      </c>
      <c r="E783">
        <v>26</v>
      </c>
    </row>
    <row r="784" spans="1:5" x14ac:dyDescent="0.25">
      <c r="A784" t="s">
        <v>592</v>
      </c>
      <c r="B784" t="str">
        <f t="shared" si="10"/>
        <v>I0041M2015-Q2</v>
      </c>
      <c r="C784" t="s">
        <v>560</v>
      </c>
      <c r="D784" t="s">
        <v>561</v>
      </c>
      <c r="E784">
        <v>28</v>
      </c>
    </row>
    <row r="785" spans="1:6" x14ac:dyDescent="0.25">
      <c r="A785" t="s">
        <v>592</v>
      </c>
      <c r="B785" t="str">
        <f t="shared" si="10"/>
        <v>I0041M2015-Q3</v>
      </c>
      <c r="C785" t="s">
        <v>562</v>
      </c>
      <c r="D785" t="s">
        <v>586</v>
      </c>
      <c r="E785">
        <v>26</v>
      </c>
    </row>
    <row r="786" spans="1:6" x14ac:dyDescent="0.25">
      <c r="A786" t="s">
        <v>592</v>
      </c>
      <c r="B786" t="str">
        <f t="shared" si="10"/>
        <v>I0041M2015-Q4</v>
      </c>
      <c r="C786" t="s">
        <v>564</v>
      </c>
      <c r="D786" t="s">
        <v>565</v>
      </c>
      <c r="E786">
        <v>29</v>
      </c>
    </row>
    <row r="787" spans="1:6" x14ac:dyDescent="0.25">
      <c r="A787" t="s">
        <v>592</v>
      </c>
      <c r="B787" t="str">
        <f t="shared" si="10"/>
        <v>I0041M2016-Q1</v>
      </c>
      <c r="C787" t="s">
        <v>629</v>
      </c>
      <c r="D787" t="s">
        <v>628</v>
      </c>
      <c r="E787">
        <v>29</v>
      </c>
    </row>
    <row r="788" spans="1:6" x14ac:dyDescent="0.25">
      <c r="A788" t="s">
        <v>592</v>
      </c>
      <c r="B788" t="str">
        <f t="shared" si="10"/>
        <v>I0041M2016-Q2</v>
      </c>
      <c r="C788" t="s">
        <v>630</v>
      </c>
      <c r="D788" t="s">
        <v>631</v>
      </c>
      <c r="E788">
        <v>29</v>
      </c>
    </row>
    <row r="789" spans="1:6" x14ac:dyDescent="0.25">
      <c r="A789" t="s">
        <v>592</v>
      </c>
      <c r="B789" t="str">
        <f t="shared" si="10"/>
        <v>I0041M2016-Q3</v>
      </c>
      <c r="C789" t="s">
        <v>632</v>
      </c>
      <c r="D789" t="s">
        <v>633</v>
      </c>
      <c r="E789">
        <v>29</v>
      </c>
    </row>
    <row r="790" spans="1:6" x14ac:dyDescent="0.25">
      <c r="A790" t="s">
        <v>592</v>
      </c>
      <c r="B790" t="str">
        <f t="shared" si="10"/>
        <v>I0041M2016-Q4</v>
      </c>
      <c r="C790" t="s">
        <v>634</v>
      </c>
      <c r="D790" t="s">
        <v>635</v>
      </c>
      <c r="E790">
        <v>29</v>
      </c>
    </row>
    <row r="791" spans="1:6" x14ac:dyDescent="0.25">
      <c r="A791" t="s">
        <v>592</v>
      </c>
      <c r="B791" t="str">
        <f t="shared" si="10"/>
        <v>I0041M2017-Q1</v>
      </c>
      <c r="C791" t="s">
        <v>636</v>
      </c>
      <c r="D791" t="s">
        <v>637</v>
      </c>
      <c r="E791">
        <v>29</v>
      </c>
    </row>
    <row r="792" spans="1:6" x14ac:dyDescent="0.25">
      <c r="A792" t="s">
        <v>594</v>
      </c>
      <c r="B792" t="str">
        <f t="shared" si="8"/>
        <v>I0042M2009-Q1</v>
      </c>
      <c r="C792" t="s">
        <v>41</v>
      </c>
      <c r="D792" t="s">
        <v>44</v>
      </c>
      <c r="E792">
        <v>16</v>
      </c>
      <c r="F792" t="s">
        <v>595</v>
      </c>
    </row>
    <row r="793" spans="1:6" x14ac:dyDescent="0.25">
      <c r="A793" t="s">
        <v>594</v>
      </c>
      <c r="B793" t="str">
        <f t="shared" si="8"/>
        <v>I0042M2009-Q2</v>
      </c>
      <c r="C793" t="s">
        <v>42</v>
      </c>
      <c r="D793" t="s">
        <v>45</v>
      </c>
      <c r="E793">
        <v>14</v>
      </c>
    </row>
    <row r="794" spans="1:6" x14ac:dyDescent="0.25">
      <c r="A794" t="s">
        <v>594</v>
      </c>
      <c r="B794" t="str">
        <f t="shared" si="8"/>
        <v>I0042M2009-Q3</v>
      </c>
      <c r="C794" t="s">
        <v>43</v>
      </c>
      <c r="D794" t="s">
        <v>46</v>
      </c>
      <c r="E794">
        <v>12</v>
      </c>
    </row>
    <row r="795" spans="1:6" x14ac:dyDescent="0.25">
      <c r="A795" t="s">
        <v>594</v>
      </c>
      <c r="B795" t="str">
        <f t="shared" si="8"/>
        <v>I0042M2009-Q4</v>
      </c>
      <c r="C795" t="s">
        <v>40</v>
      </c>
      <c r="D795" t="s">
        <v>47</v>
      </c>
      <c r="E795">
        <v>6</v>
      </c>
    </row>
    <row r="796" spans="1:6" x14ac:dyDescent="0.25">
      <c r="A796" t="s">
        <v>594</v>
      </c>
      <c r="B796" t="str">
        <f t="shared" si="8"/>
        <v>I0042M2010-Q1</v>
      </c>
      <c r="C796" t="s">
        <v>19</v>
      </c>
      <c r="D796" t="s">
        <v>24</v>
      </c>
      <c r="E796">
        <v>12</v>
      </c>
    </row>
    <row r="797" spans="1:6" x14ac:dyDescent="0.25">
      <c r="A797" t="s">
        <v>594</v>
      </c>
      <c r="B797" t="str">
        <f t="shared" si="8"/>
        <v>I0042M2010-Q2</v>
      </c>
      <c r="C797" t="s">
        <v>20</v>
      </c>
      <c r="D797" t="s">
        <v>23</v>
      </c>
      <c r="E797">
        <v>16</v>
      </c>
    </row>
    <row r="798" spans="1:6" x14ac:dyDescent="0.25">
      <c r="A798" t="s">
        <v>594</v>
      </c>
      <c r="B798" t="str">
        <f t="shared" si="8"/>
        <v>I0042M2010-Q3</v>
      </c>
      <c r="C798" t="s">
        <v>21</v>
      </c>
      <c r="D798" t="s">
        <v>22</v>
      </c>
      <c r="E798">
        <v>18</v>
      </c>
    </row>
    <row r="799" spans="1:6" x14ac:dyDescent="0.25">
      <c r="A799" t="s">
        <v>594</v>
      </c>
      <c r="B799" t="str">
        <f t="shared" si="8"/>
        <v>I0042M2010-Q4</v>
      </c>
      <c r="C799" t="s">
        <v>11</v>
      </c>
      <c r="D799" t="s">
        <v>2</v>
      </c>
      <c r="E799">
        <v>16</v>
      </c>
    </row>
    <row r="800" spans="1:6" x14ac:dyDescent="0.25">
      <c r="A800" t="s">
        <v>594</v>
      </c>
      <c r="B800" t="str">
        <f t="shared" si="8"/>
        <v>I0042M2011-Q1</v>
      </c>
      <c r="C800" t="s">
        <v>12</v>
      </c>
      <c r="D800" t="s">
        <v>16</v>
      </c>
      <c r="E800">
        <v>16</v>
      </c>
    </row>
    <row r="801" spans="1:5" x14ac:dyDescent="0.25">
      <c r="A801" t="s">
        <v>594</v>
      </c>
      <c r="B801" t="str">
        <f t="shared" si="8"/>
        <v>I0042M2011-Q2</v>
      </c>
      <c r="C801" t="s">
        <v>13</v>
      </c>
      <c r="D801" t="s">
        <v>18</v>
      </c>
      <c r="E801">
        <v>22</v>
      </c>
    </row>
    <row r="802" spans="1:5" x14ac:dyDescent="0.25">
      <c r="A802" t="s">
        <v>594</v>
      </c>
      <c r="B802" t="str">
        <f t="shared" si="8"/>
        <v>I0042M2011-Q3</v>
      </c>
      <c r="C802" t="s">
        <v>14</v>
      </c>
      <c r="D802" t="s">
        <v>17</v>
      </c>
      <c r="E802">
        <v>24</v>
      </c>
    </row>
    <row r="803" spans="1:5" x14ac:dyDescent="0.25">
      <c r="A803" t="s">
        <v>594</v>
      </c>
      <c r="B803" t="str">
        <f t="shared" si="8"/>
        <v>I0042M2011-Q4</v>
      </c>
      <c r="C803" t="s">
        <v>15</v>
      </c>
      <c r="D803" t="s">
        <v>3</v>
      </c>
      <c r="E803">
        <v>28</v>
      </c>
    </row>
    <row r="804" spans="1:5" x14ac:dyDescent="0.25">
      <c r="A804" t="s">
        <v>594</v>
      </c>
      <c r="B804" t="str">
        <f t="shared" si="8"/>
        <v>I0042M2012-Q1</v>
      </c>
      <c r="C804" t="s">
        <v>418</v>
      </c>
      <c r="D804" t="s">
        <v>415</v>
      </c>
      <c r="E804">
        <v>30</v>
      </c>
    </row>
    <row r="805" spans="1:5" x14ac:dyDescent="0.25">
      <c r="A805" t="s">
        <v>594</v>
      </c>
      <c r="B805" t="str">
        <f t="shared" si="8"/>
        <v>I0042M2012-Q2</v>
      </c>
      <c r="C805" t="s">
        <v>419</v>
      </c>
      <c r="D805" t="s">
        <v>416</v>
      </c>
      <c r="E805">
        <v>31</v>
      </c>
    </row>
    <row r="806" spans="1:5" x14ac:dyDescent="0.25">
      <c r="A806" t="s">
        <v>594</v>
      </c>
      <c r="B806" t="str">
        <f t="shared" si="8"/>
        <v>I0042M2012-Q3</v>
      </c>
      <c r="C806" t="s">
        <v>420</v>
      </c>
      <c r="D806" t="s">
        <v>417</v>
      </c>
      <c r="E806">
        <v>32</v>
      </c>
    </row>
    <row r="807" spans="1:5" x14ac:dyDescent="0.25">
      <c r="A807" t="s">
        <v>594</v>
      </c>
      <c r="B807" t="str">
        <f t="shared" si="8"/>
        <v>I0042M2012-Q4</v>
      </c>
      <c r="C807" t="s">
        <v>451</v>
      </c>
      <c r="D807" t="s">
        <v>450</v>
      </c>
      <c r="E807">
        <v>31</v>
      </c>
    </row>
    <row r="808" spans="1:5" x14ac:dyDescent="0.25">
      <c r="A808" t="s">
        <v>594</v>
      </c>
      <c r="B808" t="str">
        <f t="shared" si="8"/>
        <v>I0042M2013-Q1</v>
      </c>
      <c r="C808" t="s">
        <v>452</v>
      </c>
      <c r="D808" t="s">
        <v>439</v>
      </c>
      <c r="E808">
        <v>32</v>
      </c>
    </row>
    <row r="809" spans="1:5" x14ac:dyDescent="0.25">
      <c r="A809" t="s">
        <v>594</v>
      </c>
      <c r="B809" t="str">
        <f t="shared" si="8"/>
        <v>I0042M2013-Q2</v>
      </c>
      <c r="C809" t="s">
        <v>453</v>
      </c>
      <c r="D809" t="s">
        <v>442</v>
      </c>
      <c r="E809">
        <v>34</v>
      </c>
    </row>
    <row r="810" spans="1:5" x14ac:dyDescent="0.25">
      <c r="A810" t="s">
        <v>594</v>
      </c>
      <c r="B810" t="str">
        <f t="shared" si="8"/>
        <v>I0042M2013-Q3</v>
      </c>
      <c r="C810" t="s">
        <v>454</v>
      </c>
      <c r="D810" t="s">
        <v>445</v>
      </c>
      <c r="E810">
        <v>36</v>
      </c>
    </row>
    <row r="811" spans="1:5" x14ac:dyDescent="0.25">
      <c r="A811" t="s">
        <v>594</v>
      </c>
      <c r="B811" t="str">
        <f t="shared" si="8"/>
        <v>I0042M2013-Q4</v>
      </c>
      <c r="C811" t="s">
        <v>455</v>
      </c>
      <c r="D811" t="s">
        <v>436</v>
      </c>
      <c r="E811">
        <v>37</v>
      </c>
    </row>
    <row r="812" spans="1:5" x14ac:dyDescent="0.25">
      <c r="A812" t="s">
        <v>594</v>
      </c>
      <c r="B812" t="str">
        <f t="shared" si="8"/>
        <v>I0042M2014-Q1</v>
      </c>
      <c r="C812" t="s">
        <v>456</v>
      </c>
      <c r="D812" t="s">
        <v>430</v>
      </c>
      <c r="E812">
        <v>39</v>
      </c>
    </row>
    <row r="813" spans="1:5" x14ac:dyDescent="0.25">
      <c r="A813" t="s">
        <v>594</v>
      </c>
      <c r="B813" t="str">
        <f t="shared" si="8"/>
        <v>I0042M2014-Q2</v>
      </c>
      <c r="C813" t="s">
        <v>457</v>
      </c>
      <c r="D813" t="s">
        <v>433</v>
      </c>
      <c r="E813">
        <v>41</v>
      </c>
    </row>
    <row r="814" spans="1:5" x14ac:dyDescent="0.25">
      <c r="A814" t="s">
        <v>594</v>
      </c>
      <c r="B814" t="str">
        <f t="shared" si="8"/>
        <v>I0042M2014-Q3</v>
      </c>
      <c r="C814" t="s">
        <v>458</v>
      </c>
      <c r="D814" t="s">
        <v>427</v>
      </c>
      <c r="E814">
        <v>40</v>
      </c>
    </row>
    <row r="815" spans="1:5" x14ac:dyDescent="0.25">
      <c r="A815" t="s">
        <v>594</v>
      </c>
      <c r="B815" t="str">
        <f t="shared" si="8"/>
        <v>I0042M2014-Q4</v>
      </c>
      <c r="C815" t="s">
        <v>486</v>
      </c>
      <c r="D815" t="s">
        <v>557</v>
      </c>
      <c r="E815">
        <v>43</v>
      </c>
    </row>
    <row r="816" spans="1:5" x14ac:dyDescent="0.25">
      <c r="A816" t="s">
        <v>594</v>
      </c>
      <c r="B816" t="str">
        <f t="shared" si="8"/>
        <v>I0042M2015-Q1</v>
      </c>
      <c r="C816" t="s">
        <v>558</v>
      </c>
      <c r="D816" t="s">
        <v>559</v>
      </c>
      <c r="E816">
        <v>44</v>
      </c>
    </row>
    <row r="817" spans="1:6" x14ac:dyDescent="0.25">
      <c r="A817" t="s">
        <v>594</v>
      </c>
      <c r="B817" t="str">
        <f t="shared" si="8"/>
        <v>I0042M2015-Q2</v>
      </c>
      <c r="C817" t="s">
        <v>560</v>
      </c>
      <c r="D817" t="s">
        <v>561</v>
      </c>
      <c r="E817">
        <v>48</v>
      </c>
    </row>
    <row r="818" spans="1:6" x14ac:dyDescent="0.25">
      <c r="A818" t="s">
        <v>594</v>
      </c>
      <c r="B818" t="str">
        <f t="shared" si="8"/>
        <v>I0042M2015-Q3</v>
      </c>
      <c r="C818" t="s">
        <v>562</v>
      </c>
      <c r="D818" t="s">
        <v>586</v>
      </c>
      <c r="E818">
        <v>56</v>
      </c>
    </row>
    <row r="819" spans="1:6" x14ac:dyDescent="0.25">
      <c r="A819" t="s">
        <v>594</v>
      </c>
      <c r="B819" t="str">
        <f t="shared" si="8"/>
        <v>I0042M2015-Q4</v>
      </c>
      <c r="C819" t="s">
        <v>564</v>
      </c>
      <c r="D819" t="s">
        <v>565</v>
      </c>
      <c r="E819">
        <v>60</v>
      </c>
    </row>
    <row r="820" spans="1:6" x14ac:dyDescent="0.25">
      <c r="A820" t="s">
        <v>594</v>
      </c>
      <c r="B820" t="str">
        <f t="shared" si="8"/>
        <v>I0042M2016-Q1</v>
      </c>
      <c r="C820" t="s">
        <v>629</v>
      </c>
      <c r="D820" t="s">
        <v>628</v>
      </c>
      <c r="E820">
        <v>60</v>
      </c>
    </row>
    <row r="821" spans="1:6" x14ac:dyDescent="0.25">
      <c r="A821" t="s">
        <v>594</v>
      </c>
      <c r="B821" t="str">
        <f t="shared" si="8"/>
        <v>I0042M2016-Q2</v>
      </c>
      <c r="C821" t="s">
        <v>630</v>
      </c>
      <c r="D821" t="s">
        <v>631</v>
      </c>
      <c r="E821">
        <v>60</v>
      </c>
    </row>
    <row r="822" spans="1:6" x14ac:dyDescent="0.25">
      <c r="A822" t="s">
        <v>594</v>
      </c>
      <c r="B822" t="str">
        <f t="shared" si="8"/>
        <v>I0042M2016-Q3</v>
      </c>
      <c r="C822" t="s">
        <v>632</v>
      </c>
      <c r="D822" t="s">
        <v>633</v>
      </c>
      <c r="E822">
        <v>60</v>
      </c>
    </row>
    <row r="823" spans="1:6" x14ac:dyDescent="0.25">
      <c r="A823" t="s">
        <v>594</v>
      </c>
      <c r="B823" t="str">
        <f t="shared" si="8"/>
        <v>I0042M2016-Q4</v>
      </c>
      <c r="C823" t="s">
        <v>634</v>
      </c>
      <c r="D823" t="s">
        <v>635</v>
      </c>
      <c r="E823">
        <v>60</v>
      </c>
    </row>
    <row r="824" spans="1:6" x14ac:dyDescent="0.25">
      <c r="A824" t="s">
        <v>594</v>
      </c>
      <c r="B824" t="str">
        <f t="shared" si="8"/>
        <v>I0042M2017-Q1</v>
      </c>
      <c r="C824" t="s">
        <v>636</v>
      </c>
      <c r="D824" t="s">
        <v>637</v>
      </c>
      <c r="E824">
        <v>61</v>
      </c>
    </row>
    <row r="825" spans="1:6" x14ac:dyDescent="0.25">
      <c r="A825" t="s">
        <v>596</v>
      </c>
      <c r="B825" t="str">
        <f t="shared" si="8"/>
        <v>I0043M2009-Q1</v>
      </c>
      <c r="C825" t="s">
        <v>41</v>
      </c>
      <c r="D825" t="s">
        <v>44</v>
      </c>
      <c r="E825">
        <v>0</v>
      </c>
      <c r="F825" t="s">
        <v>597</v>
      </c>
    </row>
    <row r="826" spans="1:6" x14ac:dyDescent="0.25">
      <c r="A826" t="s">
        <v>596</v>
      </c>
      <c r="B826" t="str">
        <f t="shared" si="8"/>
        <v>I0043M2009-Q2</v>
      </c>
      <c r="C826" t="s">
        <v>42</v>
      </c>
      <c r="D826" t="s">
        <v>45</v>
      </c>
      <c r="E826">
        <v>4</v>
      </c>
    </row>
    <row r="827" spans="1:6" x14ac:dyDescent="0.25">
      <c r="A827" t="s">
        <v>596</v>
      </c>
      <c r="B827" t="str">
        <f t="shared" si="8"/>
        <v>I0043M2009-Q3</v>
      </c>
      <c r="C827" t="s">
        <v>43</v>
      </c>
      <c r="D827" t="s">
        <v>46</v>
      </c>
      <c r="E827">
        <v>2</v>
      </c>
    </row>
    <row r="828" spans="1:6" x14ac:dyDescent="0.25">
      <c r="A828" t="s">
        <v>596</v>
      </c>
      <c r="B828" t="str">
        <f t="shared" si="8"/>
        <v>I0043M2009-Q4</v>
      </c>
      <c r="C828" t="s">
        <v>40</v>
      </c>
      <c r="D828" t="s">
        <v>47</v>
      </c>
      <c r="E828">
        <v>4</v>
      </c>
    </row>
    <row r="829" spans="1:6" x14ac:dyDescent="0.25">
      <c r="A829" t="s">
        <v>596</v>
      </c>
      <c r="B829" t="str">
        <f t="shared" si="8"/>
        <v>I0043M2010-Q1</v>
      </c>
      <c r="C829" t="s">
        <v>19</v>
      </c>
      <c r="D829" t="s">
        <v>24</v>
      </c>
      <c r="E829">
        <v>6</v>
      </c>
    </row>
    <row r="830" spans="1:6" x14ac:dyDescent="0.25">
      <c r="A830" t="s">
        <v>596</v>
      </c>
      <c r="B830" t="str">
        <f t="shared" si="8"/>
        <v>I0043M2010-Q2</v>
      </c>
      <c r="C830" t="s">
        <v>20</v>
      </c>
      <c r="D830" t="s">
        <v>23</v>
      </c>
      <c r="E830">
        <v>8</v>
      </c>
    </row>
    <row r="831" spans="1:6" x14ac:dyDescent="0.25">
      <c r="A831" t="s">
        <v>596</v>
      </c>
      <c r="B831" t="str">
        <f t="shared" si="8"/>
        <v>I0043M2010-Q3</v>
      </c>
      <c r="C831" t="s">
        <v>21</v>
      </c>
      <c r="D831" t="s">
        <v>22</v>
      </c>
      <c r="E831">
        <v>10</v>
      </c>
    </row>
    <row r="832" spans="1:6" x14ac:dyDescent="0.25">
      <c r="A832" t="s">
        <v>596</v>
      </c>
      <c r="B832" t="str">
        <f t="shared" si="8"/>
        <v>I0043M2010-Q4</v>
      </c>
      <c r="C832" t="s">
        <v>11</v>
      </c>
      <c r="D832" t="s">
        <v>2</v>
      </c>
      <c r="E832">
        <v>9</v>
      </c>
    </row>
    <row r="833" spans="1:5" x14ac:dyDescent="0.25">
      <c r="A833" t="s">
        <v>596</v>
      </c>
      <c r="B833" t="str">
        <f t="shared" si="8"/>
        <v>I0043M2011-Q1</v>
      </c>
      <c r="C833" t="s">
        <v>12</v>
      </c>
      <c r="D833" t="s">
        <v>16</v>
      </c>
      <c r="E833">
        <v>10</v>
      </c>
    </row>
    <row r="834" spans="1:5" x14ac:dyDescent="0.25">
      <c r="A834" t="s">
        <v>596</v>
      </c>
      <c r="B834" t="str">
        <f t="shared" si="8"/>
        <v>I0043M2011-Q2</v>
      </c>
      <c r="C834" t="s">
        <v>13</v>
      </c>
      <c r="D834" t="s">
        <v>18</v>
      </c>
      <c r="E834">
        <v>11</v>
      </c>
    </row>
    <row r="835" spans="1:5" x14ac:dyDescent="0.25">
      <c r="A835" t="s">
        <v>596</v>
      </c>
      <c r="B835" t="str">
        <f t="shared" si="8"/>
        <v>I0043M2011-Q3</v>
      </c>
      <c r="C835" t="s">
        <v>14</v>
      </c>
      <c r="D835" t="s">
        <v>17</v>
      </c>
      <c r="E835">
        <v>13</v>
      </c>
    </row>
    <row r="836" spans="1:5" x14ac:dyDescent="0.25">
      <c r="A836" t="s">
        <v>596</v>
      </c>
      <c r="B836" t="str">
        <f t="shared" si="8"/>
        <v>I0043M2011-Q4</v>
      </c>
      <c r="C836" t="s">
        <v>15</v>
      </c>
      <c r="D836" t="s">
        <v>3</v>
      </c>
      <c r="E836">
        <v>14</v>
      </c>
    </row>
    <row r="837" spans="1:5" x14ac:dyDescent="0.25">
      <c r="A837" t="s">
        <v>596</v>
      </c>
      <c r="B837" t="str">
        <f t="shared" si="8"/>
        <v>I0043M2012-Q1</v>
      </c>
      <c r="C837" t="s">
        <v>418</v>
      </c>
      <c r="D837" t="s">
        <v>415</v>
      </c>
      <c r="E837">
        <v>14</v>
      </c>
    </row>
    <row r="838" spans="1:5" x14ac:dyDescent="0.25">
      <c r="A838" t="s">
        <v>596</v>
      </c>
      <c r="B838" t="str">
        <f t="shared" si="8"/>
        <v>I0043M2012-Q2</v>
      </c>
      <c r="C838" t="s">
        <v>419</v>
      </c>
      <c r="D838" t="s">
        <v>416</v>
      </c>
      <c r="E838">
        <v>15</v>
      </c>
    </row>
    <row r="839" spans="1:5" x14ac:dyDescent="0.25">
      <c r="A839" t="s">
        <v>596</v>
      </c>
      <c r="B839" t="str">
        <f t="shared" si="8"/>
        <v>I0043M2012-Q3</v>
      </c>
      <c r="C839" t="s">
        <v>420</v>
      </c>
      <c r="D839" t="s">
        <v>417</v>
      </c>
      <c r="E839">
        <v>16</v>
      </c>
    </row>
    <row r="840" spans="1:5" x14ac:dyDescent="0.25">
      <c r="A840" t="s">
        <v>596</v>
      </c>
      <c r="B840" t="str">
        <f t="shared" si="8"/>
        <v>I0043M2012-Q4</v>
      </c>
      <c r="C840" t="s">
        <v>451</v>
      </c>
      <c r="D840" t="s">
        <v>450</v>
      </c>
      <c r="E840">
        <v>16</v>
      </c>
    </row>
    <row r="841" spans="1:5" x14ac:dyDescent="0.25">
      <c r="A841" t="s">
        <v>596</v>
      </c>
      <c r="B841" t="str">
        <f t="shared" si="8"/>
        <v>I0043M2013-Q1</v>
      </c>
      <c r="C841" t="s">
        <v>452</v>
      </c>
      <c r="D841" t="s">
        <v>439</v>
      </c>
      <c r="E841">
        <v>17</v>
      </c>
    </row>
    <row r="842" spans="1:5" x14ac:dyDescent="0.25">
      <c r="A842" t="s">
        <v>596</v>
      </c>
      <c r="B842" t="str">
        <f t="shared" si="8"/>
        <v>I0043M2013-Q2</v>
      </c>
      <c r="C842" t="s">
        <v>453</v>
      </c>
      <c r="D842" t="s">
        <v>442</v>
      </c>
      <c r="E842">
        <v>18</v>
      </c>
    </row>
    <row r="843" spans="1:5" x14ac:dyDescent="0.25">
      <c r="A843" t="s">
        <v>596</v>
      </c>
      <c r="B843" t="str">
        <f t="shared" si="8"/>
        <v>I0043M2013-Q3</v>
      </c>
      <c r="C843" t="s">
        <v>454</v>
      </c>
      <c r="D843" t="s">
        <v>445</v>
      </c>
      <c r="E843">
        <v>16</v>
      </c>
    </row>
    <row r="844" spans="1:5" x14ac:dyDescent="0.25">
      <c r="A844" t="s">
        <v>596</v>
      </c>
      <c r="B844" t="str">
        <f t="shared" si="8"/>
        <v>I0043M2013-Q4</v>
      </c>
      <c r="C844" t="s">
        <v>455</v>
      </c>
      <c r="D844" t="s">
        <v>436</v>
      </c>
      <c r="E844">
        <v>15</v>
      </c>
    </row>
    <row r="845" spans="1:5" x14ac:dyDescent="0.25">
      <c r="A845" t="s">
        <v>596</v>
      </c>
      <c r="B845" t="str">
        <f t="shared" si="8"/>
        <v>I0043M2014-Q1</v>
      </c>
      <c r="C845" t="s">
        <v>456</v>
      </c>
      <c r="D845" t="s">
        <v>430</v>
      </c>
      <c r="E845">
        <v>18</v>
      </c>
    </row>
    <row r="846" spans="1:5" x14ac:dyDescent="0.25">
      <c r="A846" t="s">
        <v>596</v>
      </c>
      <c r="B846" t="str">
        <f t="shared" si="8"/>
        <v>I0043M2014-Q2</v>
      </c>
      <c r="C846" t="s">
        <v>457</v>
      </c>
      <c r="D846" t="s">
        <v>433</v>
      </c>
      <c r="E846">
        <v>20</v>
      </c>
    </row>
    <row r="847" spans="1:5" x14ac:dyDescent="0.25">
      <c r="A847" t="s">
        <v>596</v>
      </c>
      <c r="B847" t="str">
        <f t="shared" si="8"/>
        <v>I0043M2014-Q3</v>
      </c>
      <c r="C847" t="s">
        <v>458</v>
      </c>
      <c r="D847" t="s">
        <v>427</v>
      </c>
      <c r="E847">
        <v>22</v>
      </c>
    </row>
    <row r="848" spans="1:5" x14ac:dyDescent="0.25">
      <c r="A848" t="s">
        <v>596</v>
      </c>
      <c r="B848" t="str">
        <f t="shared" si="8"/>
        <v>I0043M2014-Q4</v>
      </c>
      <c r="C848" t="s">
        <v>486</v>
      </c>
      <c r="D848" t="s">
        <v>557</v>
      </c>
      <c r="E848">
        <v>21</v>
      </c>
    </row>
    <row r="849" spans="1:6" x14ac:dyDescent="0.25">
      <c r="A849" t="s">
        <v>596</v>
      </c>
      <c r="B849" t="str">
        <f t="shared" si="8"/>
        <v>I0043M2015-Q1</v>
      </c>
      <c r="C849" t="s">
        <v>558</v>
      </c>
      <c r="D849" t="s">
        <v>559</v>
      </c>
      <c r="E849">
        <v>24</v>
      </c>
    </row>
    <row r="850" spans="1:6" x14ac:dyDescent="0.25">
      <c r="A850" t="s">
        <v>596</v>
      </c>
      <c r="B850" t="str">
        <f t="shared" si="8"/>
        <v>I0043M2015-Q2</v>
      </c>
      <c r="C850" t="s">
        <v>560</v>
      </c>
      <c r="D850" t="s">
        <v>561</v>
      </c>
      <c r="E850">
        <v>24</v>
      </c>
    </row>
    <row r="851" spans="1:6" x14ac:dyDescent="0.25">
      <c r="A851" t="s">
        <v>596</v>
      </c>
      <c r="B851" t="str">
        <f t="shared" si="8"/>
        <v>I0043M2015-Q3</v>
      </c>
      <c r="C851" t="s">
        <v>562</v>
      </c>
      <c r="D851" t="s">
        <v>586</v>
      </c>
      <c r="E851">
        <v>25</v>
      </c>
    </row>
    <row r="852" spans="1:6" x14ac:dyDescent="0.25">
      <c r="A852" t="s">
        <v>596</v>
      </c>
      <c r="B852" t="str">
        <f t="shared" si="8"/>
        <v>I0043M2015-Q4</v>
      </c>
      <c r="C852" t="s">
        <v>564</v>
      </c>
      <c r="D852" t="s">
        <v>565</v>
      </c>
      <c r="E852">
        <v>20</v>
      </c>
    </row>
    <row r="853" spans="1:6" x14ac:dyDescent="0.25">
      <c r="A853" t="s">
        <v>596</v>
      </c>
      <c r="B853" t="str">
        <f t="shared" si="8"/>
        <v>I0043M2016-Q1</v>
      </c>
      <c r="C853" t="s">
        <v>629</v>
      </c>
      <c r="D853" t="s">
        <v>628</v>
      </c>
      <c r="E853">
        <v>21</v>
      </c>
    </row>
    <row r="854" spans="1:6" x14ac:dyDescent="0.25">
      <c r="A854" t="s">
        <v>596</v>
      </c>
      <c r="B854" t="str">
        <f t="shared" si="8"/>
        <v>I0043M2016-Q2</v>
      </c>
      <c r="C854" t="s">
        <v>630</v>
      </c>
      <c r="D854" t="s">
        <v>631</v>
      </c>
      <c r="E854">
        <v>21</v>
      </c>
    </row>
    <row r="855" spans="1:6" x14ac:dyDescent="0.25">
      <c r="A855" t="s">
        <v>596</v>
      </c>
      <c r="B855" t="str">
        <f t="shared" si="8"/>
        <v>I0043M2016-Q3</v>
      </c>
      <c r="C855" t="s">
        <v>632</v>
      </c>
      <c r="D855" t="s">
        <v>633</v>
      </c>
      <c r="E855">
        <v>21</v>
      </c>
    </row>
    <row r="856" spans="1:6" x14ac:dyDescent="0.25">
      <c r="A856" t="s">
        <v>596</v>
      </c>
      <c r="B856" t="str">
        <f t="shared" si="8"/>
        <v>I0043M2016-Q4</v>
      </c>
      <c r="C856" t="s">
        <v>634</v>
      </c>
      <c r="D856" t="s">
        <v>635</v>
      </c>
      <c r="E856">
        <v>21</v>
      </c>
    </row>
    <row r="857" spans="1:6" x14ac:dyDescent="0.25">
      <c r="A857" t="s">
        <v>596</v>
      </c>
      <c r="B857" t="str">
        <f t="shared" si="8"/>
        <v>I0043M2017-Q1</v>
      </c>
      <c r="C857" t="s">
        <v>636</v>
      </c>
      <c r="D857" t="s">
        <v>637</v>
      </c>
      <c r="E857">
        <v>21</v>
      </c>
    </row>
    <row r="858" spans="1:6" x14ac:dyDescent="0.25">
      <c r="A858" t="s">
        <v>598</v>
      </c>
      <c r="B858" t="str">
        <f t="shared" si="8"/>
        <v>I0047M2009-Q1</v>
      </c>
      <c r="C858" t="s">
        <v>41</v>
      </c>
      <c r="D858" t="s">
        <v>44</v>
      </c>
      <c r="E858">
        <v>4.5999999999999996</v>
      </c>
      <c r="F858" t="s">
        <v>609</v>
      </c>
    </row>
    <row r="859" spans="1:6" x14ac:dyDescent="0.25">
      <c r="A859" t="s">
        <v>598</v>
      </c>
      <c r="B859" t="str">
        <f t="shared" si="8"/>
        <v>I0047M2009-Q2</v>
      </c>
      <c r="C859" t="s">
        <v>42</v>
      </c>
      <c r="D859" t="s">
        <v>45</v>
      </c>
      <c r="E859">
        <v>7.8</v>
      </c>
    </row>
    <row r="860" spans="1:6" x14ac:dyDescent="0.25">
      <c r="A860" t="s">
        <v>598</v>
      </c>
      <c r="B860" t="str">
        <f t="shared" si="8"/>
        <v>I0047M2009-Q3</v>
      </c>
      <c r="C860" t="s">
        <v>43</v>
      </c>
      <c r="D860" t="s">
        <v>46</v>
      </c>
      <c r="E860">
        <v>3.4</v>
      </c>
    </row>
    <row r="861" spans="1:6" x14ac:dyDescent="0.25">
      <c r="A861" t="s">
        <v>598</v>
      </c>
      <c r="B861" t="str">
        <f t="shared" si="8"/>
        <v>I0047M2009-Q4</v>
      </c>
      <c r="C861" t="s">
        <v>40</v>
      </c>
      <c r="D861" t="s">
        <v>47</v>
      </c>
      <c r="E861">
        <v>6.1999999999999993</v>
      </c>
    </row>
    <row r="862" spans="1:6" x14ac:dyDescent="0.25">
      <c r="A862" t="s">
        <v>598</v>
      </c>
      <c r="B862" t="str">
        <f t="shared" si="8"/>
        <v>I0047M2010-Q1</v>
      </c>
      <c r="C862" t="s">
        <v>19</v>
      </c>
      <c r="D862" t="s">
        <v>24</v>
      </c>
      <c r="E862">
        <v>4.5999999999999996</v>
      </c>
    </row>
    <row r="863" spans="1:6" x14ac:dyDescent="0.25">
      <c r="A863" t="s">
        <v>598</v>
      </c>
      <c r="B863" t="str">
        <f t="shared" si="8"/>
        <v>I0047M2010-Q2</v>
      </c>
      <c r="C863" t="s">
        <v>20</v>
      </c>
      <c r="D863" t="s">
        <v>23</v>
      </c>
      <c r="E863">
        <v>4.1999999999999993</v>
      </c>
    </row>
    <row r="864" spans="1:6" x14ac:dyDescent="0.25">
      <c r="A864" t="s">
        <v>598</v>
      </c>
      <c r="B864" t="str">
        <f t="shared" ref="B864:B936" si="11">CONCATENATE(A864,"M",C864)</f>
        <v>I0047M2010-Q3</v>
      </c>
      <c r="C864" t="s">
        <v>21</v>
      </c>
      <c r="D864" t="s">
        <v>22</v>
      </c>
      <c r="E864">
        <v>2.9</v>
      </c>
    </row>
    <row r="865" spans="1:5" x14ac:dyDescent="0.25">
      <c r="A865" t="s">
        <v>598</v>
      </c>
      <c r="B865" t="str">
        <f t="shared" si="11"/>
        <v>I0047M2010-Q4</v>
      </c>
      <c r="C865" t="s">
        <v>11</v>
      </c>
      <c r="D865" t="s">
        <v>2</v>
      </c>
      <c r="E865">
        <v>2.6</v>
      </c>
    </row>
    <row r="866" spans="1:5" x14ac:dyDescent="0.25">
      <c r="A866" t="s">
        <v>598</v>
      </c>
      <c r="B866" t="str">
        <f t="shared" si="11"/>
        <v>I0047M2011-Q1</v>
      </c>
      <c r="C866" t="s">
        <v>12</v>
      </c>
      <c r="D866" t="s">
        <v>16</v>
      </c>
      <c r="E866">
        <v>2.9</v>
      </c>
    </row>
    <row r="867" spans="1:5" x14ac:dyDescent="0.25">
      <c r="A867" t="s">
        <v>598</v>
      </c>
      <c r="B867" t="str">
        <f t="shared" si="11"/>
        <v>I0047M2011-Q2</v>
      </c>
      <c r="C867" t="s">
        <v>13</v>
      </c>
      <c r="D867" t="s">
        <v>18</v>
      </c>
      <c r="E867">
        <v>3.2</v>
      </c>
    </row>
    <row r="868" spans="1:5" x14ac:dyDescent="0.25">
      <c r="A868" t="s">
        <v>598</v>
      </c>
      <c r="B868" t="str">
        <f t="shared" si="11"/>
        <v>I0047M2011-Q3</v>
      </c>
      <c r="C868" t="s">
        <v>14</v>
      </c>
      <c r="D868" t="s">
        <v>17</v>
      </c>
      <c r="E868">
        <v>2.1</v>
      </c>
    </row>
    <row r="869" spans="1:5" x14ac:dyDescent="0.25">
      <c r="A869" t="s">
        <v>598</v>
      </c>
      <c r="B869" t="str">
        <f t="shared" si="11"/>
        <v>I0047M2011-Q4</v>
      </c>
      <c r="C869" t="s">
        <v>15</v>
      </c>
      <c r="D869" t="s">
        <v>3</v>
      </c>
      <c r="E869">
        <v>3.9</v>
      </c>
    </row>
    <row r="870" spans="1:5" x14ac:dyDescent="0.25">
      <c r="A870" t="s">
        <v>598</v>
      </c>
      <c r="B870" t="str">
        <f t="shared" si="11"/>
        <v>I0047M2012-Q1</v>
      </c>
      <c r="C870" t="s">
        <v>418</v>
      </c>
      <c r="D870" t="s">
        <v>415</v>
      </c>
      <c r="E870">
        <v>3.3000000000000003</v>
      </c>
    </row>
    <row r="871" spans="1:5" x14ac:dyDescent="0.25">
      <c r="A871" t="s">
        <v>598</v>
      </c>
      <c r="B871" t="str">
        <f t="shared" si="11"/>
        <v>I0047M2012-Q2</v>
      </c>
      <c r="C871" t="s">
        <v>419</v>
      </c>
      <c r="D871" t="s">
        <v>416</v>
      </c>
      <c r="E871">
        <v>3.3000000000000003</v>
      </c>
    </row>
    <row r="872" spans="1:5" x14ac:dyDescent="0.25">
      <c r="A872" t="s">
        <v>598</v>
      </c>
      <c r="B872" t="str">
        <f t="shared" si="11"/>
        <v>I0047M2012-Q3</v>
      </c>
      <c r="C872" t="s">
        <v>420</v>
      </c>
      <c r="D872" t="s">
        <v>417</v>
      </c>
      <c r="E872">
        <v>3.8000000000000003</v>
      </c>
    </row>
    <row r="873" spans="1:5" x14ac:dyDescent="0.25">
      <c r="A873" t="s">
        <v>598</v>
      </c>
      <c r="B873" t="str">
        <f t="shared" si="11"/>
        <v>I0047M2012-Q4</v>
      </c>
      <c r="C873" t="s">
        <v>451</v>
      </c>
      <c r="D873" t="s">
        <v>450</v>
      </c>
      <c r="E873">
        <v>2.2000000000000002</v>
      </c>
    </row>
    <row r="874" spans="1:5" x14ac:dyDescent="0.25">
      <c r="A874" t="s">
        <v>598</v>
      </c>
      <c r="B874" t="str">
        <f t="shared" si="11"/>
        <v>I0047M2013-Q1</v>
      </c>
      <c r="C874" t="s">
        <v>452</v>
      </c>
      <c r="D874" t="s">
        <v>439</v>
      </c>
      <c r="E874">
        <v>2.7</v>
      </c>
    </row>
    <row r="875" spans="1:5" x14ac:dyDescent="0.25">
      <c r="A875" t="s">
        <v>598</v>
      </c>
      <c r="B875" t="str">
        <f t="shared" si="11"/>
        <v>I0047M2013-Q2</v>
      </c>
      <c r="C875" t="s">
        <v>453</v>
      </c>
      <c r="D875" t="s">
        <v>442</v>
      </c>
      <c r="E875">
        <v>2.5</v>
      </c>
    </row>
    <row r="876" spans="1:5" x14ac:dyDescent="0.25">
      <c r="A876" t="s">
        <v>598</v>
      </c>
      <c r="B876" t="str">
        <f t="shared" si="11"/>
        <v>I0047M2013-Q3</v>
      </c>
      <c r="C876" t="s">
        <v>454</v>
      </c>
      <c r="D876" t="s">
        <v>445</v>
      </c>
      <c r="E876">
        <v>2.6</v>
      </c>
    </row>
    <row r="877" spans="1:5" x14ac:dyDescent="0.25">
      <c r="A877" t="s">
        <v>598</v>
      </c>
      <c r="B877" t="str">
        <f t="shared" si="11"/>
        <v>I0047M2013-Q4</v>
      </c>
      <c r="C877" t="s">
        <v>455</v>
      </c>
      <c r="D877" t="s">
        <v>436</v>
      </c>
      <c r="E877">
        <v>1.8</v>
      </c>
    </row>
    <row r="878" spans="1:5" x14ac:dyDescent="0.25">
      <c r="A878" t="s">
        <v>598</v>
      </c>
      <c r="B878" t="str">
        <f t="shared" si="11"/>
        <v>I0047M2014-Q1</v>
      </c>
      <c r="C878" t="s">
        <v>456</v>
      </c>
      <c r="D878" t="s">
        <v>430</v>
      </c>
      <c r="E878">
        <v>3.2</v>
      </c>
    </row>
    <row r="879" spans="1:5" x14ac:dyDescent="0.25">
      <c r="A879" t="s">
        <v>598</v>
      </c>
      <c r="B879" t="str">
        <f t="shared" si="11"/>
        <v>I0047M2014-Q2</v>
      </c>
      <c r="C879" t="s">
        <v>457</v>
      </c>
      <c r="D879" t="s">
        <v>433</v>
      </c>
      <c r="E879">
        <v>2</v>
      </c>
    </row>
    <row r="880" spans="1:5" x14ac:dyDescent="0.25">
      <c r="A880" t="s">
        <v>598</v>
      </c>
      <c r="B880" t="str">
        <f t="shared" si="11"/>
        <v>I0047M2014-Q3</v>
      </c>
      <c r="C880" t="s">
        <v>458</v>
      </c>
      <c r="D880" t="s">
        <v>427</v>
      </c>
      <c r="E880">
        <v>1.6</v>
      </c>
    </row>
    <row r="881" spans="1:6" x14ac:dyDescent="0.25">
      <c r="A881" t="s">
        <v>598</v>
      </c>
      <c r="B881" t="str">
        <f t="shared" si="11"/>
        <v>I0047M2014-Q4</v>
      </c>
      <c r="C881" t="s">
        <v>486</v>
      </c>
      <c r="D881" t="s">
        <v>557</v>
      </c>
      <c r="E881">
        <v>1.2000000000000002</v>
      </c>
    </row>
    <row r="882" spans="1:6" x14ac:dyDescent="0.25">
      <c r="A882" t="s">
        <v>598</v>
      </c>
      <c r="B882" t="str">
        <f t="shared" si="11"/>
        <v>I0047M2015-Q1</v>
      </c>
      <c r="C882" t="s">
        <v>558</v>
      </c>
      <c r="D882" t="s">
        <v>559</v>
      </c>
      <c r="E882">
        <v>1.3</v>
      </c>
    </row>
    <row r="883" spans="1:6" x14ac:dyDescent="0.25">
      <c r="A883" t="s">
        <v>598</v>
      </c>
      <c r="B883" t="str">
        <f t="shared" si="11"/>
        <v>I0047M2015-Q2</v>
      </c>
      <c r="C883" t="s">
        <v>560</v>
      </c>
      <c r="D883" t="s">
        <v>561</v>
      </c>
      <c r="E883">
        <v>1.3</v>
      </c>
    </row>
    <row r="884" spans="1:6" x14ac:dyDescent="0.25">
      <c r="A884" t="s">
        <v>598</v>
      </c>
      <c r="B884" t="str">
        <f t="shared" si="11"/>
        <v>I0047M2015-Q3</v>
      </c>
      <c r="C884" t="s">
        <v>562</v>
      </c>
      <c r="D884" t="s">
        <v>586</v>
      </c>
      <c r="E884">
        <v>1.2</v>
      </c>
    </row>
    <row r="885" spans="1:6" x14ac:dyDescent="0.25">
      <c r="A885" t="s">
        <v>598</v>
      </c>
      <c r="B885" t="str">
        <f t="shared" si="11"/>
        <v>I0047M2015-Q4</v>
      </c>
      <c r="C885" t="s">
        <v>564</v>
      </c>
      <c r="D885" t="s">
        <v>565</v>
      </c>
      <c r="E885">
        <v>1.1200000000000001</v>
      </c>
    </row>
    <row r="886" spans="1:6" x14ac:dyDescent="0.25">
      <c r="A886" t="s">
        <v>598</v>
      </c>
      <c r="B886" t="str">
        <f t="shared" si="11"/>
        <v>I0047M2016-Q1</v>
      </c>
      <c r="C886" t="s">
        <v>629</v>
      </c>
      <c r="D886" t="s">
        <v>628</v>
      </c>
      <c r="E886">
        <v>1.1000000000000001</v>
      </c>
    </row>
    <row r="887" spans="1:6" x14ac:dyDescent="0.25">
      <c r="A887" t="s">
        <v>598</v>
      </c>
      <c r="B887" t="str">
        <f t="shared" si="11"/>
        <v>I0047M2016-Q2</v>
      </c>
      <c r="C887" t="s">
        <v>630</v>
      </c>
      <c r="D887" t="s">
        <v>631</v>
      </c>
      <c r="E887">
        <v>1</v>
      </c>
    </row>
    <row r="888" spans="1:6" x14ac:dyDescent="0.25">
      <c r="A888" t="s">
        <v>598</v>
      </c>
      <c r="B888" t="str">
        <f t="shared" si="11"/>
        <v>I0047M2016-Q3</v>
      </c>
      <c r="C888" t="s">
        <v>632</v>
      </c>
      <c r="D888" t="s">
        <v>633</v>
      </c>
      <c r="E888">
        <v>1.2</v>
      </c>
    </row>
    <row r="889" spans="1:6" x14ac:dyDescent="0.25">
      <c r="A889" t="s">
        <v>598</v>
      </c>
      <c r="B889" t="str">
        <f t="shared" si="11"/>
        <v>I0047M2016-Q4</v>
      </c>
      <c r="C889" t="s">
        <v>634</v>
      </c>
      <c r="D889" t="s">
        <v>635</v>
      </c>
      <c r="E889">
        <v>2.2999999999999998</v>
      </c>
    </row>
    <row r="890" spans="1:6" x14ac:dyDescent="0.25">
      <c r="A890" t="s">
        <v>598</v>
      </c>
      <c r="B890" t="str">
        <f t="shared" si="11"/>
        <v>I0047M2017-Q1</v>
      </c>
      <c r="C890" t="s">
        <v>636</v>
      </c>
      <c r="D890" t="s">
        <v>637</v>
      </c>
      <c r="E890">
        <v>1.1000000000000001</v>
      </c>
    </row>
    <row r="891" spans="1:6" x14ac:dyDescent="0.25">
      <c r="A891" t="s">
        <v>599</v>
      </c>
      <c r="B891" t="str">
        <f t="shared" si="11"/>
        <v>I0048M2009-Q1</v>
      </c>
      <c r="C891" t="s">
        <v>41</v>
      </c>
      <c r="D891" t="s">
        <v>44</v>
      </c>
      <c r="E891">
        <v>42</v>
      </c>
      <c r="F891" s="4" t="s">
        <v>600</v>
      </c>
    </row>
    <row r="892" spans="1:6" x14ac:dyDescent="0.25">
      <c r="A892" t="s">
        <v>599</v>
      </c>
      <c r="B892" t="str">
        <f t="shared" si="11"/>
        <v>I0048M2009-Q2</v>
      </c>
      <c r="C892" t="s">
        <v>42</v>
      </c>
      <c r="D892" t="s">
        <v>45</v>
      </c>
      <c r="E892">
        <v>39</v>
      </c>
    </row>
    <row r="893" spans="1:6" x14ac:dyDescent="0.25">
      <c r="A893" t="s">
        <v>599</v>
      </c>
      <c r="B893" t="str">
        <f t="shared" si="11"/>
        <v>I0048M2009-Q3</v>
      </c>
      <c r="C893" t="s">
        <v>43</v>
      </c>
      <c r="D893" t="s">
        <v>46</v>
      </c>
      <c r="E893">
        <v>32</v>
      </c>
    </row>
    <row r="894" spans="1:6" x14ac:dyDescent="0.25">
      <c r="A894" t="s">
        <v>599</v>
      </c>
      <c r="B894" t="str">
        <f t="shared" si="11"/>
        <v>I0048M2009-Q4</v>
      </c>
      <c r="C894" t="s">
        <v>40</v>
      </c>
      <c r="D894" t="s">
        <v>47</v>
      </c>
      <c r="E894">
        <v>28</v>
      </c>
    </row>
    <row r="895" spans="1:6" x14ac:dyDescent="0.25">
      <c r="A895" t="s">
        <v>599</v>
      </c>
      <c r="B895" t="str">
        <f t="shared" si="11"/>
        <v>I0048M2010-Q1</v>
      </c>
      <c r="C895" t="s">
        <v>19</v>
      </c>
      <c r="D895" t="s">
        <v>24</v>
      </c>
      <c r="E895">
        <v>29</v>
      </c>
    </row>
    <row r="896" spans="1:6" x14ac:dyDescent="0.25">
      <c r="A896" t="s">
        <v>599</v>
      </c>
      <c r="B896" t="str">
        <f t="shared" si="11"/>
        <v>I0048M2010-Q2</v>
      </c>
      <c r="C896" t="s">
        <v>20</v>
      </c>
      <c r="D896" t="s">
        <v>23</v>
      </c>
      <c r="E896">
        <v>25</v>
      </c>
    </row>
    <row r="897" spans="1:5" x14ac:dyDescent="0.25">
      <c r="A897" t="s">
        <v>599</v>
      </c>
      <c r="B897" t="str">
        <f t="shared" si="11"/>
        <v>I0048M2010-Q3</v>
      </c>
      <c r="C897" t="s">
        <v>21</v>
      </c>
      <c r="D897" t="s">
        <v>22</v>
      </c>
      <c r="E897">
        <v>22</v>
      </c>
    </row>
    <row r="898" spans="1:5" x14ac:dyDescent="0.25">
      <c r="A898" t="s">
        <v>599</v>
      </c>
      <c r="B898" t="str">
        <f t="shared" si="11"/>
        <v>I0048M2010-Q4</v>
      </c>
      <c r="C898" t="s">
        <v>11</v>
      </c>
      <c r="D898" t="s">
        <v>2</v>
      </c>
      <c r="E898">
        <v>20</v>
      </c>
    </row>
    <row r="899" spans="1:5" x14ac:dyDescent="0.25">
      <c r="A899" t="s">
        <v>599</v>
      </c>
      <c r="B899" t="str">
        <f t="shared" si="11"/>
        <v>I0048M2011-Q1</v>
      </c>
      <c r="C899" t="s">
        <v>12</v>
      </c>
      <c r="D899" t="s">
        <v>16</v>
      </c>
      <c r="E899">
        <v>18</v>
      </c>
    </row>
    <row r="900" spans="1:5" x14ac:dyDescent="0.25">
      <c r="A900" t="s">
        <v>599</v>
      </c>
      <c r="B900" t="str">
        <f t="shared" si="11"/>
        <v>I0048M2011-Q2</v>
      </c>
      <c r="C900" t="s">
        <v>13</v>
      </c>
      <c r="D900" t="s">
        <v>18</v>
      </c>
      <c r="E900">
        <v>17</v>
      </c>
    </row>
    <row r="901" spans="1:5" x14ac:dyDescent="0.25">
      <c r="A901" t="s">
        <v>599</v>
      </c>
      <c r="B901" t="str">
        <f t="shared" si="11"/>
        <v>I0048M2011-Q3</v>
      </c>
      <c r="C901" t="s">
        <v>14</v>
      </c>
      <c r="D901" t="s">
        <v>17</v>
      </c>
      <c r="E901">
        <v>15</v>
      </c>
    </row>
    <row r="902" spans="1:5" x14ac:dyDescent="0.25">
      <c r="A902" t="s">
        <v>599</v>
      </c>
      <c r="B902" t="str">
        <f t="shared" si="11"/>
        <v>I0048M2011-Q4</v>
      </c>
      <c r="C902" t="s">
        <v>15</v>
      </c>
      <c r="D902" t="s">
        <v>3</v>
      </c>
      <c r="E902">
        <v>14</v>
      </c>
    </row>
    <row r="903" spans="1:5" x14ac:dyDescent="0.25">
      <c r="A903" t="s">
        <v>599</v>
      </c>
      <c r="B903" t="str">
        <f t="shared" si="11"/>
        <v>I0048M2012-Q1</v>
      </c>
      <c r="C903" t="s">
        <v>418</v>
      </c>
      <c r="D903" t="s">
        <v>415</v>
      </c>
      <c r="E903">
        <v>10</v>
      </c>
    </row>
    <row r="904" spans="1:5" x14ac:dyDescent="0.25">
      <c r="A904" t="s">
        <v>599</v>
      </c>
      <c r="B904" t="str">
        <f t="shared" si="11"/>
        <v>I0048M2012-Q2</v>
      </c>
      <c r="C904" t="s">
        <v>419</v>
      </c>
      <c r="D904" t="s">
        <v>416</v>
      </c>
      <c r="E904">
        <v>11</v>
      </c>
    </row>
    <row r="905" spans="1:5" x14ac:dyDescent="0.25">
      <c r="A905" t="s">
        <v>599</v>
      </c>
      <c r="B905" t="str">
        <f t="shared" si="11"/>
        <v>I0048M2012-Q3</v>
      </c>
      <c r="C905" t="s">
        <v>420</v>
      </c>
      <c r="D905" t="s">
        <v>417</v>
      </c>
      <c r="E905">
        <v>12</v>
      </c>
    </row>
    <row r="906" spans="1:5" x14ac:dyDescent="0.25">
      <c r="A906" t="s">
        <v>599</v>
      </c>
      <c r="B906" t="str">
        <f t="shared" si="11"/>
        <v>I0048M2012-Q4</v>
      </c>
      <c r="C906" t="s">
        <v>451</v>
      </c>
      <c r="D906" t="s">
        <v>450</v>
      </c>
      <c r="E906">
        <v>10</v>
      </c>
    </row>
    <row r="907" spans="1:5" x14ac:dyDescent="0.25">
      <c r="A907" t="s">
        <v>599</v>
      </c>
      <c r="B907" t="str">
        <f t="shared" si="11"/>
        <v>I0048M2013-Q1</v>
      </c>
      <c r="C907" t="s">
        <v>452</v>
      </c>
      <c r="D907" t="s">
        <v>439</v>
      </c>
      <c r="E907">
        <v>11</v>
      </c>
    </row>
    <row r="908" spans="1:5" x14ac:dyDescent="0.25">
      <c r="A908" t="s">
        <v>599</v>
      </c>
      <c r="B908" t="str">
        <f t="shared" si="11"/>
        <v>I0048M2013-Q2</v>
      </c>
      <c r="C908" t="s">
        <v>453</v>
      </c>
      <c r="D908" t="s">
        <v>442</v>
      </c>
      <c r="E908">
        <v>9</v>
      </c>
    </row>
    <row r="909" spans="1:5" x14ac:dyDescent="0.25">
      <c r="A909" t="s">
        <v>599</v>
      </c>
      <c r="B909" t="str">
        <f t="shared" si="11"/>
        <v>I0048M2013-Q3</v>
      </c>
      <c r="C909" t="s">
        <v>454</v>
      </c>
      <c r="D909" t="s">
        <v>445</v>
      </c>
      <c r="E909">
        <v>9</v>
      </c>
    </row>
    <row r="910" spans="1:5" x14ac:dyDescent="0.25">
      <c r="A910" t="s">
        <v>599</v>
      </c>
      <c r="B910" t="str">
        <f t="shared" si="11"/>
        <v>I0048M2013-Q4</v>
      </c>
      <c r="C910" t="s">
        <v>455</v>
      </c>
      <c r="D910" t="s">
        <v>436</v>
      </c>
      <c r="E910">
        <v>6</v>
      </c>
    </row>
    <row r="911" spans="1:5" x14ac:dyDescent="0.25">
      <c r="A911" t="s">
        <v>599</v>
      </c>
      <c r="B911" t="str">
        <f t="shared" si="11"/>
        <v>I0048M2014-Q1</v>
      </c>
      <c r="C911" t="s">
        <v>456</v>
      </c>
      <c r="D911" t="s">
        <v>430</v>
      </c>
      <c r="E911">
        <v>8</v>
      </c>
    </row>
    <row r="912" spans="1:5" x14ac:dyDescent="0.25">
      <c r="A912" t="s">
        <v>599</v>
      </c>
      <c r="B912" t="str">
        <f t="shared" si="11"/>
        <v>I0048M2014-Q2</v>
      </c>
      <c r="C912" t="s">
        <v>457</v>
      </c>
      <c r="D912" t="s">
        <v>433</v>
      </c>
      <c r="E912">
        <v>6</v>
      </c>
    </row>
    <row r="913" spans="1:6" x14ac:dyDescent="0.25">
      <c r="A913" t="s">
        <v>599</v>
      </c>
      <c r="B913" t="str">
        <f t="shared" si="11"/>
        <v>I0048M2014-Q3</v>
      </c>
      <c r="C913" t="s">
        <v>458</v>
      </c>
      <c r="D913" t="s">
        <v>427</v>
      </c>
      <c r="E913">
        <v>7</v>
      </c>
    </row>
    <row r="914" spans="1:6" x14ac:dyDescent="0.25">
      <c r="A914" t="s">
        <v>599</v>
      </c>
      <c r="B914" t="str">
        <f t="shared" si="11"/>
        <v>I0048M2014-Q4</v>
      </c>
      <c r="C914" t="s">
        <v>486</v>
      </c>
      <c r="D914" t="s">
        <v>557</v>
      </c>
      <c r="E914">
        <v>6</v>
      </c>
    </row>
    <row r="915" spans="1:6" x14ac:dyDescent="0.25">
      <c r="A915" t="s">
        <v>599</v>
      </c>
      <c r="B915" t="str">
        <f t="shared" si="11"/>
        <v>I0048M2015-Q1</v>
      </c>
      <c r="C915" t="s">
        <v>558</v>
      </c>
      <c r="D915" t="s">
        <v>559</v>
      </c>
      <c r="E915">
        <v>4</v>
      </c>
    </row>
    <row r="916" spans="1:6" x14ac:dyDescent="0.25">
      <c r="A916" t="s">
        <v>599</v>
      </c>
      <c r="B916" t="str">
        <f t="shared" si="11"/>
        <v>I0048M2015-Q2</v>
      </c>
      <c r="C916" t="s">
        <v>560</v>
      </c>
      <c r="D916" t="s">
        <v>561</v>
      </c>
      <c r="E916">
        <v>5</v>
      </c>
    </row>
    <row r="917" spans="1:6" x14ac:dyDescent="0.25">
      <c r="A917" t="s">
        <v>599</v>
      </c>
      <c r="B917" t="str">
        <f t="shared" si="11"/>
        <v>I0048M2015-Q3</v>
      </c>
      <c r="C917" t="s">
        <v>562</v>
      </c>
      <c r="D917" t="s">
        <v>586</v>
      </c>
      <c r="E917">
        <v>4</v>
      </c>
    </row>
    <row r="918" spans="1:6" x14ac:dyDescent="0.25">
      <c r="A918" t="s">
        <v>599</v>
      </c>
      <c r="B918" t="str">
        <f t="shared" si="11"/>
        <v>I0048M2015-Q4</v>
      </c>
      <c r="C918" t="s">
        <v>564</v>
      </c>
      <c r="D918" t="s">
        <v>565</v>
      </c>
      <c r="E918">
        <v>5</v>
      </c>
    </row>
    <row r="919" spans="1:6" x14ac:dyDescent="0.25">
      <c r="A919" t="s">
        <v>599</v>
      </c>
      <c r="B919" t="str">
        <f t="shared" si="11"/>
        <v>I0048M2016-Q1</v>
      </c>
      <c r="C919" t="s">
        <v>629</v>
      </c>
      <c r="D919" t="s">
        <v>628</v>
      </c>
      <c r="E919">
        <v>5</v>
      </c>
    </row>
    <row r="920" spans="1:6" x14ac:dyDescent="0.25">
      <c r="A920" t="s">
        <v>599</v>
      </c>
      <c r="B920" t="str">
        <f t="shared" si="11"/>
        <v>I0048M2016-Q2</v>
      </c>
      <c r="C920" t="s">
        <v>630</v>
      </c>
      <c r="D920" t="s">
        <v>631</v>
      </c>
      <c r="E920">
        <v>4</v>
      </c>
    </row>
    <row r="921" spans="1:6" x14ac:dyDescent="0.25">
      <c r="A921" t="s">
        <v>599</v>
      </c>
      <c r="B921" t="str">
        <f t="shared" si="11"/>
        <v>I0048M2016-Q3</v>
      </c>
      <c r="C921" t="s">
        <v>632</v>
      </c>
      <c r="D921" t="s">
        <v>633</v>
      </c>
      <c r="E921">
        <v>3</v>
      </c>
    </row>
    <row r="922" spans="1:6" x14ac:dyDescent="0.25">
      <c r="A922" t="s">
        <v>599</v>
      </c>
      <c r="B922" t="str">
        <f t="shared" si="11"/>
        <v>I0048M2016-Q4</v>
      </c>
      <c r="C922" t="s">
        <v>634</v>
      </c>
      <c r="D922" t="s">
        <v>635</v>
      </c>
      <c r="E922">
        <v>4</v>
      </c>
    </row>
    <row r="923" spans="1:6" x14ac:dyDescent="0.25">
      <c r="A923" t="s">
        <v>599</v>
      </c>
      <c r="B923" t="str">
        <f t="shared" si="11"/>
        <v>I0048M2017-Q1</v>
      </c>
      <c r="C923" t="s">
        <v>636</v>
      </c>
      <c r="D923" t="s">
        <v>637</v>
      </c>
      <c r="E923">
        <v>3</v>
      </c>
    </row>
    <row r="924" spans="1:6" x14ac:dyDescent="0.25">
      <c r="A924" t="s">
        <v>601</v>
      </c>
      <c r="B924" t="str">
        <f t="shared" si="11"/>
        <v>I0051M2009-Q1</v>
      </c>
      <c r="C924" t="s">
        <v>41</v>
      </c>
      <c r="D924" t="s">
        <v>44</v>
      </c>
      <c r="E924">
        <v>24</v>
      </c>
      <c r="F924" s="4" t="s">
        <v>610</v>
      </c>
    </row>
    <row r="925" spans="1:6" x14ac:dyDescent="0.25">
      <c r="A925" t="s">
        <v>601</v>
      </c>
      <c r="B925" t="str">
        <f t="shared" si="11"/>
        <v>I0051M2009-Q2</v>
      </c>
      <c r="C925" t="s">
        <v>42</v>
      </c>
      <c r="D925" t="s">
        <v>45</v>
      </c>
      <c r="E925">
        <v>22</v>
      </c>
    </row>
    <row r="926" spans="1:6" x14ac:dyDescent="0.25">
      <c r="A926" t="s">
        <v>601</v>
      </c>
      <c r="B926" t="str">
        <f t="shared" si="11"/>
        <v>I0051M2009-Q3</v>
      </c>
      <c r="C926" t="s">
        <v>43</v>
      </c>
      <c r="D926" t="s">
        <v>46</v>
      </c>
      <c r="E926">
        <v>24</v>
      </c>
    </row>
    <row r="927" spans="1:6" x14ac:dyDescent="0.25">
      <c r="A927" t="s">
        <v>601</v>
      </c>
      <c r="B927" t="str">
        <f t="shared" si="11"/>
        <v>I0051M2009-Q4</v>
      </c>
      <c r="C927" t="s">
        <v>40</v>
      </c>
      <c r="D927" t="s">
        <v>47</v>
      </c>
      <c r="E927">
        <v>26</v>
      </c>
    </row>
    <row r="928" spans="1:6" x14ac:dyDescent="0.25">
      <c r="A928" t="s">
        <v>601</v>
      </c>
      <c r="B928" t="str">
        <f t="shared" si="11"/>
        <v>I0051M2010-Q1</v>
      </c>
      <c r="C928" t="s">
        <v>19</v>
      </c>
      <c r="D928" t="s">
        <v>24</v>
      </c>
      <c r="E928">
        <v>18</v>
      </c>
    </row>
    <row r="929" spans="1:5" x14ac:dyDescent="0.25">
      <c r="A929" t="s">
        <v>601</v>
      </c>
      <c r="B929" t="str">
        <f t="shared" si="11"/>
        <v>I0051M2010-Q2</v>
      </c>
      <c r="C929" t="s">
        <v>20</v>
      </c>
      <c r="D929" t="s">
        <v>23</v>
      </c>
      <c r="E929">
        <v>20</v>
      </c>
    </row>
    <row r="930" spans="1:5" x14ac:dyDescent="0.25">
      <c r="A930" t="s">
        <v>601</v>
      </c>
      <c r="B930" t="str">
        <f t="shared" si="11"/>
        <v>I0051M2010-Q3</v>
      </c>
      <c r="C930" t="s">
        <v>21</v>
      </c>
      <c r="D930" t="s">
        <v>22</v>
      </c>
      <c r="E930">
        <v>21</v>
      </c>
    </row>
    <row r="931" spans="1:5" x14ac:dyDescent="0.25">
      <c r="A931" t="s">
        <v>601</v>
      </c>
      <c r="B931" t="str">
        <f t="shared" si="11"/>
        <v>I0051M2010-Q4</v>
      </c>
      <c r="C931" t="s">
        <v>11</v>
      </c>
      <c r="D931" t="s">
        <v>2</v>
      </c>
      <c r="E931">
        <v>23</v>
      </c>
    </row>
    <row r="932" spans="1:5" x14ac:dyDescent="0.25">
      <c r="A932" t="s">
        <v>601</v>
      </c>
      <c r="B932" t="str">
        <f t="shared" si="11"/>
        <v>I0051M2011-Q1</v>
      </c>
      <c r="C932" t="s">
        <v>12</v>
      </c>
      <c r="D932" t="s">
        <v>16</v>
      </c>
      <c r="E932">
        <v>22</v>
      </c>
    </row>
    <row r="933" spans="1:5" x14ac:dyDescent="0.25">
      <c r="A933" t="s">
        <v>601</v>
      </c>
      <c r="B933" t="str">
        <f t="shared" si="11"/>
        <v>I0051M2011-Q2</v>
      </c>
      <c r="C933" t="s">
        <v>13</v>
      </c>
      <c r="D933" t="s">
        <v>18</v>
      </c>
      <c r="E933">
        <v>26</v>
      </c>
    </row>
    <row r="934" spans="1:5" x14ac:dyDescent="0.25">
      <c r="A934" t="s">
        <v>601</v>
      </c>
      <c r="B934" t="str">
        <f t="shared" si="11"/>
        <v>I0051M2011-Q3</v>
      </c>
      <c r="C934" t="s">
        <v>14</v>
      </c>
      <c r="D934" t="s">
        <v>17</v>
      </c>
      <c r="E934">
        <v>31</v>
      </c>
    </row>
    <row r="935" spans="1:5" x14ac:dyDescent="0.25">
      <c r="A935" t="s">
        <v>601</v>
      </c>
      <c r="B935" t="str">
        <f t="shared" si="11"/>
        <v>I0051M2011-Q4</v>
      </c>
      <c r="C935" t="s">
        <v>15</v>
      </c>
      <c r="D935" t="s">
        <v>3</v>
      </c>
      <c r="E935">
        <v>30</v>
      </c>
    </row>
    <row r="936" spans="1:5" x14ac:dyDescent="0.25">
      <c r="A936" t="s">
        <v>601</v>
      </c>
      <c r="B936" t="str">
        <f t="shared" si="11"/>
        <v>I0051M2012-Q1</v>
      </c>
      <c r="C936" t="s">
        <v>418</v>
      </c>
      <c r="D936" t="s">
        <v>415</v>
      </c>
      <c r="E936">
        <v>32</v>
      </c>
    </row>
    <row r="937" spans="1:5" x14ac:dyDescent="0.25">
      <c r="A937" t="s">
        <v>601</v>
      </c>
      <c r="B937" t="str">
        <f t="shared" ref="B937:B969" si="12">CONCATENATE(A937,"M",C937)</f>
        <v>I0051M2012-Q2</v>
      </c>
      <c r="C937" t="s">
        <v>419</v>
      </c>
      <c r="D937" t="s">
        <v>416</v>
      </c>
      <c r="E937">
        <v>34</v>
      </c>
    </row>
    <row r="938" spans="1:5" x14ac:dyDescent="0.25">
      <c r="A938" t="s">
        <v>601</v>
      </c>
      <c r="B938" t="str">
        <f t="shared" si="12"/>
        <v>I0051M2012-Q3</v>
      </c>
      <c r="C938" t="s">
        <v>420</v>
      </c>
      <c r="D938" t="s">
        <v>417</v>
      </c>
      <c r="E938">
        <v>35</v>
      </c>
    </row>
    <row r="939" spans="1:5" x14ac:dyDescent="0.25">
      <c r="A939" t="s">
        <v>601</v>
      </c>
      <c r="B939" t="str">
        <f t="shared" si="12"/>
        <v>I0051M2012-Q4</v>
      </c>
      <c r="C939" t="s">
        <v>451</v>
      </c>
      <c r="D939" t="s">
        <v>450</v>
      </c>
      <c r="E939">
        <v>34</v>
      </c>
    </row>
    <row r="940" spans="1:5" x14ac:dyDescent="0.25">
      <c r="A940" t="s">
        <v>601</v>
      </c>
      <c r="B940" t="str">
        <f t="shared" si="12"/>
        <v>I0051M2013-Q1</v>
      </c>
      <c r="C940" t="s">
        <v>452</v>
      </c>
      <c r="D940" t="s">
        <v>439</v>
      </c>
      <c r="E940">
        <v>38</v>
      </c>
    </row>
    <row r="941" spans="1:5" x14ac:dyDescent="0.25">
      <c r="A941" t="s">
        <v>601</v>
      </c>
      <c r="B941" t="str">
        <f t="shared" si="12"/>
        <v>I0051M2013-Q2</v>
      </c>
      <c r="C941" t="s">
        <v>453</v>
      </c>
      <c r="D941" t="s">
        <v>442</v>
      </c>
      <c r="E941">
        <v>40</v>
      </c>
    </row>
    <row r="942" spans="1:5" x14ac:dyDescent="0.25">
      <c r="A942" t="s">
        <v>601</v>
      </c>
      <c r="B942" t="str">
        <f t="shared" si="12"/>
        <v>I0051M2013-Q3</v>
      </c>
      <c r="C942" t="s">
        <v>454</v>
      </c>
      <c r="D942" t="s">
        <v>445</v>
      </c>
      <c r="E942">
        <v>41</v>
      </c>
    </row>
    <row r="943" spans="1:5" x14ac:dyDescent="0.25">
      <c r="A943" t="s">
        <v>601</v>
      </c>
      <c r="B943" t="str">
        <f t="shared" si="12"/>
        <v>I0051M2013-Q4</v>
      </c>
      <c r="C943" t="s">
        <v>455</v>
      </c>
      <c r="D943" t="s">
        <v>436</v>
      </c>
      <c r="E943">
        <v>42</v>
      </c>
    </row>
    <row r="944" spans="1:5" x14ac:dyDescent="0.25">
      <c r="A944" t="s">
        <v>601</v>
      </c>
      <c r="B944" t="str">
        <f t="shared" si="12"/>
        <v>I0051M2014-Q1</v>
      </c>
      <c r="C944" t="s">
        <v>456</v>
      </c>
      <c r="D944" t="s">
        <v>430</v>
      </c>
      <c r="E944">
        <v>44</v>
      </c>
    </row>
    <row r="945" spans="1:6" x14ac:dyDescent="0.25">
      <c r="A945" t="s">
        <v>601</v>
      </c>
      <c r="B945" t="str">
        <f t="shared" si="12"/>
        <v>I0051M2014-Q2</v>
      </c>
      <c r="C945" t="s">
        <v>457</v>
      </c>
      <c r="D945" t="s">
        <v>433</v>
      </c>
      <c r="E945">
        <v>46</v>
      </c>
    </row>
    <row r="946" spans="1:6" x14ac:dyDescent="0.25">
      <c r="A946" t="s">
        <v>601</v>
      </c>
      <c r="B946" t="str">
        <f t="shared" si="12"/>
        <v>I0051M2014-Q3</v>
      </c>
      <c r="C946" t="s">
        <v>458</v>
      </c>
      <c r="D946" t="s">
        <v>427</v>
      </c>
      <c r="E946">
        <v>47</v>
      </c>
    </row>
    <row r="947" spans="1:6" x14ac:dyDescent="0.25">
      <c r="A947" t="s">
        <v>601</v>
      </c>
      <c r="B947" t="str">
        <f t="shared" si="12"/>
        <v>I0051M2014-Q4</v>
      </c>
      <c r="C947" t="s">
        <v>486</v>
      </c>
      <c r="D947" t="s">
        <v>557</v>
      </c>
      <c r="E947">
        <v>48</v>
      </c>
    </row>
    <row r="948" spans="1:6" x14ac:dyDescent="0.25">
      <c r="A948" t="s">
        <v>601</v>
      </c>
      <c r="B948" t="str">
        <f t="shared" si="12"/>
        <v>I0051M2015-Q1</v>
      </c>
      <c r="C948" t="s">
        <v>558</v>
      </c>
      <c r="D948" t="s">
        <v>559</v>
      </c>
      <c r="E948">
        <v>50</v>
      </c>
    </row>
    <row r="949" spans="1:6" x14ac:dyDescent="0.25">
      <c r="A949" t="s">
        <v>601</v>
      </c>
      <c r="B949" t="str">
        <f t="shared" si="12"/>
        <v>I0051M2015-Q2</v>
      </c>
      <c r="C949" t="s">
        <v>560</v>
      </c>
      <c r="D949" t="s">
        <v>561</v>
      </c>
      <c r="E949">
        <v>48</v>
      </c>
    </row>
    <row r="950" spans="1:6" x14ac:dyDescent="0.25">
      <c r="A950" t="s">
        <v>601</v>
      </c>
      <c r="B950" t="str">
        <f t="shared" si="12"/>
        <v>I0051M2015-Q3</v>
      </c>
      <c r="C950" t="s">
        <v>562</v>
      </c>
      <c r="D950" t="s">
        <v>586</v>
      </c>
      <c r="E950">
        <v>52</v>
      </c>
    </row>
    <row r="951" spans="1:6" x14ac:dyDescent="0.25">
      <c r="A951" t="s">
        <v>601</v>
      </c>
      <c r="B951" t="str">
        <f t="shared" si="12"/>
        <v>I0051M2015-Q4</v>
      </c>
      <c r="C951" t="s">
        <v>564</v>
      </c>
      <c r="D951" t="s">
        <v>565</v>
      </c>
      <c r="E951">
        <v>56</v>
      </c>
    </row>
    <row r="952" spans="1:6" x14ac:dyDescent="0.25">
      <c r="A952" t="s">
        <v>601</v>
      </c>
      <c r="B952" t="str">
        <f t="shared" si="12"/>
        <v>I0051M2016-Q1</v>
      </c>
      <c r="C952" t="s">
        <v>629</v>
      </c>
      <c r="D952" t="s">
        <v>628</v>
      </c>
      <c r="E952">
        <v>57</v>
      </c>
    </row>
    <row r="953" spans="1:6" x14ac:dyDescent="0.25">
      <c r="A953" t="s">
        <v>601</v>
      </c>
      <c r="B953" t="str">
        <f t="shared" si="12"/>
        <v>I0051M2016-Q2</v>
      </c>
      <c r="C953" t="s">
        <v>630</v>
      </c>
      <c r="D953" t="s">
        <v>631</v>
      </c>
      <c r="E953">
        <v>57</v>
      </c>
    </row>
    <row r="954" spans="1:6" x14ac:dyDescent="0.25">
      <c r="A954" t="s">
        <v>601</v>
      </c>
      <c r="B954" t="str">
        <f t="shared" si="12"/>
        <v>I0051M2016-Q3</v>
      </c>
      <c r="C954" t="s">
        <v>632</v>
      </c>
      <c r="D954" t="s">
        <v>633</v>
      </c>
      <c r="E954">
        <v>57</v>
      </c>
    </row>
    <row r="955" spans="1:6" x14ac:dyDescent="0.25">
      <c r="A955" t="s">
        <v>601</v>
      </c>
      <c r="B955" t="str">
        <f t="shared" si="12"/>
        <v>I0051M2016-Q4</v>
      </c>
      <c r="C955" t="s">
        <v>634</v>
      </c>
      <c r="D955" t="s">
        <v>635</v>
      </c>
      <c r="E955">
        <v>57</v>
      </c>
    </row>
    <row r="956" spans="1:6" x14ac:dyDescent="0.25">
      <c r="A956" t="s">
        <v>601</v>
      </c>
      <c r="B956" t="str">
        <f t="shared" si="12"/>
        <v>I0051M2017-Q1</v>
      </c>
      <c r="C956" t="s">
        <v>636</v>
      </c>
      <c r="D956" t="s">
        <v>637</v>
      </c>
      <c r="E956">
        <v>58</v>
      </c>
    </row>
    <row r="957" spans="1:6" x14ac:dyDescent="0.25">
      <c r="A957" t="s">
        <v>602</v>
      </c>
      <c r="B957" t="str">
        <f t="shared" si="12"/>
        <v>I0052M2009-Q1</v>
      </c>
      <c r="C957" t="s">
        <v>41</v>
      </c>
      <c r="D957" t="s">
        <v>44</v>
      </c>
      <c r="E957">
        <f>AVERAGE(E792,E759)</f>
        <v>13.75</v>
      </c>
      <c r="F957" t="s">
        <v>603</v>
      </c>
    </row>
    <row r="958" spans="1:6" x14ac:dyDescent="0.25">
      <c r="A958" t="s">
        <v>602</v>
      </c>
      <c r="B958" t="str">
        <f t="shared" si="12"/>
        <v>I0052M2009-Q2</v>
      </c>
      <c r="C958" t="s">
        <v>42</v>
      </c>
      <c r="D958" t="s">
        <v>45</v>
      </c>
      <c r="E958">
        <f>AVERAGE(E793,E760)</f>
        <v>12.5</v>
      </c>
    </row>
    <row r="959" spans="1:6" x14ac:dyDescent="0.25">
      <c r="A959" t="s">
        <v>602</v>
      </c>
      <c r="B959" t="str">
        <f t="shared" si="12"/>
        <v>I0052M2009-Q3</v>
      </c>
      <c r="C959" t="s">
        <v>43</v>
      </c>
      <c r="D959" t="s">
        <v>46</v>
      </c>
      <c r="E959">
        <f>AVERAGE(E794,E761)</f>
        <v>12</v>
      </c>
    </row>
    <row r="960" spans="1:6" x14ac:dyDescent="0.25">
      <c r="A960" t="s">
        <v>602</v>
      </c>
      <c r="B960" t="str">
        <f t="shared" si="12"/>
        <v>I0052M2009-Q4</v>
      </c>
      <c r="C960" t="s">
        <v>40</v>
      </c>
      <c r="D960" t="s">
        <v>47</v>
      </c>
      <c r="E960">
        <f>AVERAGE(E795,E762)</f>
        <v>8.5</v>
      </c>
    </row>
    <row r="961" spans="1:5" x14ac:dyDescent="0.25">
      <c r="A961" t="s">
        <v>602</v>
      </c>
      <c r="B961" t="str">
        <f t="shared" si="12"/>
        <v>I0052M2010-Q1</v>
      </c>
      <c r="C961" t="s">
        <v>19</v>
      </c>
      <c r="D961" t="s">
        <v>24</v>
      </c>
      <c r="E961">
        <f>AVERAGE(E796,E763)</f>
        <v>11.75</v>
      </c>
    </row>
    <row r="962" spans="1:5" x14ac:dyDescent="0.25">
      <c r="A962" t="s">
        <v>602</v>
      </c>
      <c r="B962" t="str">
        <f t="shared" si="12"/>
        <v>I0052M2010-Q2</v>
      </c>
      <c r="C962" t="s">
        <v>20</v>
      </c>
      <c r="D962" t="s">
        <v>23</v>
      </c>
      <c r="E962">
        <f>AVERAGE(E797,E764)</f>
        <v>13.5</v>
      </c>
    </row>
    <row r="963" spans="1:5" x14ac:dyDescent="0.25">
      <c r="A963" t="s">
        <v>602</v>
      </c>
      <c r="B963" t="str">
        <f t="shared" si="12"/>
        <v>I0052M2010-Q3</v>
      </c>
      <c r="C963" t="s">
        <v>21</v>
      </c>
      <c r="D963" t="s">
        <v>22</v>
      </c>
      <c r="E963">
        <f>AVERAGE(E798,E765)</f>
        <v>15</v>
      </c>
    </row>
    <row r="964" spans="1:5" x14ac:dyDescent="0.25">
      <c r="A964" t="s">
        <v>602</v>
      </c>
      <c r="B964" t="str">
        <f t="shared" si="12"/>
        <v>I0052M2010-Q4</v>
      </c>
      <c r="C964" t="s">
        <v>11</v>
      </c>
      <c r="D964" t="s">
        <v>2</v>
      </c>
      <c r="E964">
        <f>AVERAGE(E799,E766)</f>
        <v>14.25</v>
      </c>
    </row>
    <row r="965" spans="1:5" x14ac:dyDescent="0.25">
      <c r="A965" t="s">
        <v>602</v>
      </c>
      <c r="B965" t="str">
        <f t="shared" si="12"/>
        <v>I0052M2011-Q1</v>
      </c>
      <c r="C965" t="s">
        <v>12</v>
      </c>
      <c r="D965" t="s">
        <v>16</v>
      </c>
      <c r="E965">
        <f>AVERAGE(E800,E767)</f>
        <v>14.5</v>
      </c>
    </row>
    <row r="966" spans="1:5" x14ac:dyDescent="0.25">
      <c r="A966" t="s">
        <v>602</v>
      </c>
      <c r="B966" t="str">
        <f t="shared" si="12"/>
        <v>I0052M2011-Q2</v>
      </c>
      <c r="C966" t="s">
        <v>13</v>
      </c>
      <c r="D966" t="s">
        <v>18</v>
      </c>
      <c r="E966">
        <f>AVERAGE(E801,E768)</f>
        <v>18.5</v>
      </c>
    </row>
    <row r="967" spans="1:5" x14ac:dyDescent="0.25">
      <c r="A967" t="s">
        <v>602</v>
      </c>
      <c r="B967" t="str">
        <f t="shared" si="12"/>
        <v>I0052M2011-Q3</v>
      </c>
      <c r="C967" t="s">
        <v>14</v>
      </c>
      <c r="D967" t="s">
        <v>17</v>
      </c>
      <c r="E967">
        <f>AVERAGE(E802,E769)</f>
        <v>20</v>
      </c>
    </row>
    <row r="968" spans="1:5" x14ac:dyDescent="0.25">
      <c r="A968" t="s">
        <v>602</v>
      </c>
      <c r="B968" t="str">
        <f t="shared" si="12"/>
        <v>I0052M2011-Q4</v>
      </c>
      <c r="C968" t="s">
        <v>15</v>
      </c>
      <c r="D968" t="s">
        <v>3</v>
      </c>
      <c r="E968">
        <f>AVERAGE(E803,E770)</f>
        <v>22</v>
      </c>
    </row>
    <row r="969" spans="1:5" x14ac:dyDescent="0.25">
      <c r="A969" t="s">
        <v>602</v>
      </c>
      <c r="B969" t="str">
        <f t="shared" si="12"/>
        <v>I0052M2012-Q1</v>
      </c>
      <c r="C969" t="s">
        <v>418</v>
      </c>
      <c r="D969" t="s">
        <v>415</v>
      </c>
      <c r="E969">
        <f>AVERAGE(E804,E771)</f>
        <v>23.5</v>
      </c>
    </row>
    <row r="970" spans="1:5" x14ac:dyDescent="0.25">
      <c r="A970" t="s">
        <v>602</v>
      </c>
      <c r="B970" t="str">
        <f t="shared" ref="B970:B1043" si="13">CONCATENATE(A970,"M",C970)</f>
        <v>I0052M2012-Q2</v>
      </c>
      <c r="C970" t="s">
        <v>419</v>
      </c>
      <c r="D970" t="s">
        <v>416</v>
      </c>
      <c r="E970">
        <f>AVERAGE(E805,E772)</f>
        <v>23.5</v>
      </c>
    </row>
    <row r="971" spans="1:5" x14ac:dyDescent="0.25">
      <c r="A971" t="s">
        <v>602</v>
      </c>
      <c r="B971" t="str">
        <f t="shared" si="13"/>
        <v>I0052M2012-Q3</v>
      </c>
      <c r="C971" t="s">
        <v>420</v>
      </c>
      <c r="D971" t="s">
        <v>417</v>
      </c>
      <c r="E971">
        <f>AVERAGE(E806,E773)</f>
        <v>25</v>
      </c>
    </row>
    <row r="972" spans="1:5" x14ac:dyDescent="0.25">
      <c r="A972" t="s">
        <v>602</v>
      </c>
      <c r="B972" t="str">
        <f t="shared" si="13"/>
        <v>I0052M2012-Q4</v>
      </c>
      <c r="C972" t="s">
        <v>451</v>
      </c>
      <c r="D972" t="s">
        <v>450</v>
      </c>
      <c r="E972">
        <f>AVERAGE(E807,E774)</f>
        <v>22.5</v>
      </c>
    </row>
    <row r="973" spans="1:5" x14ac:dyDescent="0.25">
      <c r="A973" t="s">
        <v>602</v>
      </c>
      <c r="B973" t="str">
        <f t="shared" si="13"/>
        <v>I0052M2013-Q1</v>
      </c>
      <c r="C973" t="s">
        <v>452</v>
      </c>
      <c r="D973" t="s">
        <v>439</v>
      </c>
      <c r="E973">
        <f>AVERAGE(E808,E775)</f>
        <v>26</v>
      </c>
    </row>
    <row r="974" spans="1:5" x14ac:dyDescent="0.25">
      <c r="A974" t="s">
        <v>602</v>
      </c>
      <c r="B974" t="str">
        <f t="shared" si="13"/>
        <v>I0052M2013-Q2</v>
      </c>
      <c r="C974" t="s">
        <v>453</v>
      </c>
      <c r="D974" t="s">
        <v>442</v>
      </c>
      <c r="E974">
        <f>AVERAGE(E809,E776)</f>
        <v>27</v>
      </c>
    </row>
    <row r="975" spans="1:5" x14ac:dyDescent="0.25">
      <c r="A975" t="s">
        <v>602</v>
      </c>
      <c r="B975" t="str">
        <f t="shared" si="13"/>
        <v>I0052M2013-Q3</v>
      </c>
      <c r="C975" t="s">
        <v>454</v>
      </c>
      <c r="D975" t="s">
        <v>445</v>
      </c>
      <c r="E975">
        <f>AVERAGE(E810,E777)</f>
        <v>27.5</v>
      </c>
    </row>
    <row r="976" spans="1:5" x14ac:dyDescent="0.25">
      <c r="A976" t="s">
        <v>602</v>
      </c>
      <c r="B976" t="str">
        <f t="shared" si="13"/>
        <v>I0052M2013-Q4</v>
      </c>
      <c r="C976" t="s">
        <v>455</v>
      </c>
      <c r="D976" t="s">
        <v>436</v>
      </c>
      <c r="E976">
        <f>AVERAGE(E811,E778)</f>
        <v>28.5</v>
      </c>
    </row>
    <row r="977" spans="1:6" x14ac:dyDescent="0.25">
      <c r="A977" t="s">
        <v>602</v>
      </c>
      <c r="B977" t="str">
        <f t="shared" si="13"/>
        <v>I0052M2014-Q1</v>
      </c>
      <c r="C977" t="s">
        <v>456</v>
      </c>
      <c r="D977" t="s">
        <v>430</v>
      </c>
      <c r="E977">
        <f>AVERAGE(E812,E779)</f>
        <v>30.5</v>
      </c>
    </row>
    <row r="978" spans="1:6" x14ac:dyDescent="0.25">
      <c r="A978" t="s">
        <v>602</v>
      </c>
      <c r="B978" t="str">
        <f t="shared" si="13"/>
        <v>I0052M2014-Q2</v>
      </c>
      <c r="C978" t="s">
        <v>457</v>
      </c>
      <c r="D978" t="s">
        <v>433</v>
      </c>
      <c r="E978">
        <f>AVERAGE(E813,E780)</f>
        <v>32.5</v>
      </c>
    </row>
    <row r="979" spans="1:6" x14ac:dyDescent="0.25">
      <c r="A979" t="s">
        <v>602</v>
      </c>
      <c r="B979" t="str">
        <f t="shared" si="13"/>
        <v>I0052M2014-Q3</v>
      </c>
      <c r="C979" t="s">
        <v>458</v>
      </c>
      <c r="D979" t="s">
        <v>427</v>
      </c>
      <c r="E979">
        <f>AVERAGE(E814,E781)</f>
        <v>33</v>
      </c>
    </row>
    <row r="980" spans="1:6" x14ac:dyDescent="0.25">
      <c r="A980" t="s">
        <v>602</v>
      </c>
      <c r="B980" t="str">
        <f t="shared" si="13"/>
        <v>I0052M2014-Q4</v>
      </c>
      <c r="C980" t="s">
        <v>486</v>
      </c>
      <c r="D980" t="s">
        <v>557</v>
      </c>
      <c r="E980">
        <f>AVERAGE(E815,E782)</f>
        <v>34</v>
      </c>
    </row>
    <row r="981" spans="1:6" x14ac:dyDescent="0.25">
      <c r="A981" t="s">
        <v>602</v>
      </c>
      <c r="B981" t="str">
        <f t="shared" si="13"/>
        <v>I0052M2015-Q1</v>
      </c>
      <c r="C981" t="s">
        <v>558</v>
      </c>
      <c r="D981" t="s">
        <v>559</v>
      </c>
      <c r="E981">
        <f>AVERAGE(E816,E783)</f>
        <v>35</v>
      </c>
    </row>
    <row r="982" spans="1:6" x14ac:dyDescent="0.25">
      <c r="A982" t="s">
        <v>602</v>
      </c>
      <c r="B982" t="str">
        <f t="shared" si="13"/>
        <v>I0052M2015-Q2</v>
      </c>
      <c r="C982" t="s">
        <v>560</v>
      </c>
      <c r="D982" t="s">
        <v>561</v>
      </c>
      <c r="E982">
        <f>AVERAGE(E817,E784)</f>
        <v>38</v>
      </c>
    </row>
    <row r="983" spans="1:6" x14ac:dyDescent="0.25">
      <c r="A983" t="s">
        <v>602</v>
      </c>
      <c r="B983" t="str">
        <f t="shared" si="13"/>
        <v>I0052M2015-Q3</v>
      </c>
      <c r="C983" t="s">
        <v>562</v>
      </c>
      <c r="D983" t="s">
        <v>586</v>
      </c>
      <c r="E983">
        <f>AVERAGE(E818,E785)</f>
        <v>41</v>
      </c>
    </row>
    <row r="984" spans="1:6" x14ac:dyDescent="0.25">
      <c r="A984" t="s">
        <v>602</v>
      </c>
      <c r="B984" t="str">
        <f t="shared" si="13"/>
        <v>I0052M2015-Q4</v>
      </c>
      <c r="C984" t="s">
        <v>564</v>
      </c>
      <c r="D984" t="s">
        <v>565</v>
      </c>
      <c r="E984">
        <f>AVERAGE(E819,E786)</f>
        <v>44.5</v>
      </c>
    </row>
    <row r="985" spans="1:6" x14ac:dyDescent="0.25">
      <c r="A985" t="s">
        <v>602</v>
      </c>
      <c r="B985" t="str">
        <f t="shared" si="13"/>
        <v>I0052M2016-Q1</v>
      </c>
      <c r="C985" t="s">
        <v>629</v>
      </c>
      <c r="D985" t="s">
        <v>628</v>
      </c>
      <c r="E985">
        <v>45</v>
      </c>
    </row>
    <row r="986" spans="1:6" x14ac:dyDescent="0.25">
      <c r="A986" t="s">
        <v>602</v>
      </c>
      <c r="B986" t="str">
        <f t="shared" si="13"/>
        <v>I0052M2016-Q2</v>
      </c>
      <c r="C986" t="s">
        <v>630</v>
      </c>
      <c r="D986" t="s">
        <v>631</v>
      </c>
      <c r="E986">
        <v>45</v>
      </c>
    </row>
    <row r="987" spans="1:6" x14ac:dyDescent="0.25">
      <c r="A987" t="s">
        <v>602</v>
      </c>
      <c r="B987" t="str">
        <f t="shared" si="13"/>
        <v>I0052M2016-Q3</v>
      </c>
      <c r="C987" t="s">
        <v>632</v>
      </c>
      <c r="D987" t="s">
        <v>633</v>
      </c>
      <c r="E987">
        <v>45</v>
      </c>
    </row>
    <row r="988" spans="1:6" x14ac:dyDescent="0.25">
      <c r="A988" t="s">
        <v>602</v>
      </c>
      <c r="B988" t="str">
        <f t="shared" si="13"/>
        <v>I0052M2016-Q4</v>
      </c>
      <c r="C988" t="s">
        <v>634</v>
      </c>
      <c r="D988" t="s">
        <v>635</v>
      </c>
      <c r="E988">
        <v>45</v>
      </c>
    </row>
    <row r="989" spans="1:6" x14ac:dyDescent="0.25">
      <c r="A989" t="s">
        <v>602</v>
      </c>
      <c r="B989" t="str">
        <f t="shared" si="13"/>
        <v>I0052M2017-Q1</v>
      </c>
      <c r="C989" t="s">
        <v>636</v>
      </c>
      <c r="D989" t="s">
        <v>637</v>
      </c>
      <c r="E989">
        <v>45</v>
      </c>
    </row>
    <row r="990" spans="1:6" x14ac:dyDescent="0.25">
      <c r="A990" t="s">
        <v>611</v>
      </c>
      <c r="B990" t="str">
        <f t="shared" si="13"/>
        <v>I0026M2009-Q1</v>
      </c>
      <c r="C990" t="s">
        <v>41</v>
      </c>
      <c r="D990" t="s">
        <v>44</v>
      </c>
      <c r="E990">
        <v>0.65</v>
      </c>
      <c r="F990" t="s">
        <v>612</v>
      </c>
    </row>
    <row r="991" spans="1:6" x14ac:dyDescent="0.25">
      <c r="A991" t="s">
        <v>611</v>
      </c>
      <c r="B991" t="str">
        <f t="shared" si="13"/>
        <v>I0026M2009-Q2</v>
      </c>
      <c r="C991" t="s">
        <v>42</v>
      </c>
      <c r="D991" t="s">
        <v>45</v>
      </c>
      <c r="E991">
        <v>0.85</v>
      </c>
    </row>
    <row r="992" spans="1:6" x14ac:dyDescent="0.25">
      <c r="A992" t="s">
        <v>611</v>
      </c>
      <c r="B992" t="str">
        <f t="shared" si="13"/>
        <v>I0026M2009-Q3</v>
      </c>
      <c r="C992" t="s">
        <v>43</v>
      </c>
      <c r="D992" t="s">
        <v>46</v>
      </c>
      <c r="E992">
        <v>1.25</v>
      </c>
    </row>
    <row r="993" spans="1:5" x14ac:dyDescent="0.25">
      <c r="A993" t="s">
        <v>611</v>
      </c>
      <c r="B993" t="str">
        <f t="shared" si="13"/>
        <v>I0026M2009-Q4</v>
      </c>
      <c r="C993" t="s">
        <v>40</v>
      </c>
      <c r="D993" t="s">
        <v>47</v>
      </c>
      <c r="E993">
        <v>1.25</v>
      </c>
    </row>
    <row r="994" spans="1:5" x14ac:dyDescent="0.25">
      <c r="A994" t="s">
        <v>611</v>
      </c>
      <c r="B994" t="str">
        <f t="shared" si="13"/>
        <v>I0026M2010-Q1</v>
      </c>
      <c r="C994" t="s">
        <v>19</v>
      </c>
      <c r="D994" t="s">
        <v>24</v>
      </c>
      <c r="E994">
        <v>1.55</v>
      </c>
    </row>
    <row r="995" spans="1:5" x14ac:dyDescent="0.25">
      <c r="A995" t="s">
        <v>611</v>
      </c>
      <c r="B995" t="str">
        <f t="shared" si="13"/>
        <v>I0026M2010-Q2</v>
      </c>
      <c r="C995" t="s">
        <v>20</v>
      </c>
      <c r="D995" t="s">
        <v>23</v>
      </c>
      <c r="E995">
        <v>2.15</v>
      </c>
    </row>
    <row r="996" spans="1:5" x14ac:dyDescent="0.25">
      <c r="A996" t="s">
        <v>611</v>
      </c>
      <c r="B996" t="str">
        <f t="shared" si="13"/>
        <v>I0026M2010-Q3</v>
      </c>
      <c r="C996" t="s">
        <v>21</v>
      </c>
      <c r="D996" t="s">
        <v>22</v>
      </c>
      <c r="E996">
        <v>2.25</v>
      </c>
    </row>
    <row r="997" spans="1:5" x14ac:dyDescent="0.25">
      <c r="A997" t="s">
        <v>611</v>
      </c>
      <c r="B997" t="str">
        <f t="shared" si="13"/>
        <v>I0026M2010-Q4</v>
      </c>
      <c r="C997" t="s">
        <v>11</v>
      </c>
      <c r="D997" t="s">
        <v>2</v>
      </c>
      <c r="E997">
        <v>2.4500000000000002</v>
      </c>
    </row>
    <row r="998" spans="1:5" x14ac:dyDescent="0.25">
      <c r="A998" t="s">
        <v>611</v>
      </c>
      <c r="B998" t="str">
        <f t="shared" si="13"/>
        <v>I0026M2011-Q1</v>
      </c>
      <c r="C998" t="s">
        <v>12</v>
      </c>
      <c r="D998" t="s">
        <v>16</v>
      </c>
      <c r="E998">
        <v>2.5499999999999998</v>
      </c>
    </row>
    <row r="999" spans="1:5" x14ac:dyDescent="0.25">
      <c r="A999" t="s">
        <v>611</v>
      </c>
      <c r="B999" t="str">
        <f t="shared" si="13"/>
        <v>I0026M2011-Q2</v>
      </c>
      <c r="C999" t="s">
        <v>13</v>
      </c>
      <c r="D999" t="s">
        <v>18</v>
      </c>
      <c r="E999">
        <v>2.75</v>
      </c>
    </row>
    <row r="1000" spans="1:5" x14ac:dyDescent="0.25">
      <c r="A1000" t="s">
        <v>611</v>
      </c>
      <c r="B1000" t="str">
        <f t="shared" si="13"/>
        <v>I0026M2011-Q3</v>
      </c>
      <c r="C1000" t="s">
        <v>14</v>
      </c>
      <c r="D1000" t="s">
        <v>17</v>
      </c>
      <c r="E1000">
        <v>3</v>
      </c>
    </row>
    <row r="1001" spans="1:5" x14ac:dyDescent="0.25">
      <c r="A1001" t="s">
        <v>611</v>
      </c>
      <c r="B1001" t="str">
        <f t="shared" si="13"/>
        <v>I0026M2011-Q4</v>
      </c>
      <c r="C1001" t="s">
        <v>15</v>
      </c>
      <c r="D1001" t="s">
        <v>3</v>
      </c>
      <c r="E1001">
        <v>3</v>
      </c>
    </row>
    <row r="1002" spans="1:5" x14ac:dyDescent="0.25">
      <c r="A1002" t="s">
        <v>611</v>
      </c>
      <c r="B1002" t="str">
        <f t="shared" si="13"/>
        <v>I0026M2012-Q1</v>
      </c>
      <c r="C1002" t="s">
        <v>418</v>
      </c>
      <c r="D1002" t="s">
        <v>415</v>
      </c>
      <c r="E1002">
        <v>3</v>
      </c>
    </row>
    <row r="1003" spans="1:5" x14ac:dyDescent="0.25">
      <c r="A1003" t="s">
        <v>611</v>
      </c>
      <c r="B1003" t="str">
        <f t="shared" si="13"/>
        <v>I0026M2012-Q2</v>
      </c>
      <c r="C1003" t="s">
        <v>419</v>
      </c>
      <c r="D1003" t="s">
        <v>416</v>
      </c>
      <c r="E1003">
        <v>3.15</v>
      </c>
    </row>
    <row r="1004" spans="1:5" x14ac:dyDescent="0.25">
      <c r="A1004" t="s">
        <v>611</v>
      </c>
      <c r="B1004" t="str">
        <f t="shared" si="13"/>
        <v>I0026M2012-Q3</v>
      </c>
      <c r="C1004" t="s">
        <v>420</v>
      </c>
      <c r="D1004" t="s">
        <v>417</v>
      </c>
      <c r="E1004">
        <v>3.15</v>
      </c>
    </row>
    <row r="1005" spans="1:5" x14ac:dyDescent="0.25">
      <c r="A1005" t="s">
        <v>611</v>
      </c>
      <c r="B1005" t="str">
        <f t="shared" si="13"/>
        <v>I0026M2012-Q4</v>
      </c>
      <c r="C1005" t="s">
        <v>451</v>
      </c>
      <c r="D1005" t="s">
        <v>450</v>
      </c>
      <c r="E1005">
        <v>3.15</v>
      </c>
    </row>
    <row r="1006" spans="1:5" x14ac:dyDescent="0.25">
      <c r="A1006" t="s">
        <v>611</v>
      </c>
      <c r="B1006" t="str">
        <f t="shared" si="13"/>
        <v>I0026M2013-Q1</v>
      </c>
      <c r="C1006" t="s">
        <v>452</v>
      </c>
      <c r="D1006" t="s">
        <v>439</v>
      </c>
      <c r="E1006">
        <v>3.35</v>
      </c>
    </row>
    <row r="1007" spans="1:5" x14ac:dyDescent="0.25">
      <c r="A1007" t="s">
        <v>611</v>
      </c>
      <c r="B1007" t="str">
        <f t="shared" si="13"/>
        <v>I0026M2013-Q2</v>
      </c>
      <c r="C1007" t="s">
        <v>453</v>
      </c>
      <c r="D1007" t="s">
        <v>442</v>
      </c>
      <c r="E1007">
        <v>3.35</v>
      </c>
    </row>
    <row r="1008" spans="1:5" x14ac:dyDescent="0.25">
      <c r="A1008" t="s">
        <v>611</v>
      </c>
      <c r="B1008" t="str">
        <f t="shared" si="13"/>
        <v>I0026M2013-Q3</v>
      </c>
      <c r="C1008" t="s">
        <v>454</v>
      </c>
      <c r="D1008" t="s">
        <v>445</v>
      </c>
      <c r="E1008">
        <v>3.35</v>
      </c>
    </row>
    <row r="1009" spans="1:6" x14ac:dyDescent="0.25">
      <c r="A1009" t="s">
        <v>611</v>
      </c>
      <c r="B1009" t="str">
        <f t="shared" si="13"/>
        <v>I0026M2013-Q4</v>
      </c>
      <c r="C1009" t="s">
        <v>455</v>
      </c>
      <c r="D1009" t="s">
        <v>436</v>
      </c>
      <c r="E1009">
        <v>3.5</v>
      </c>
    </row>
    <row r="1010" spans="1:6" x14ac:dyDescent="0.25">
      <c r="A1010" t="s">
        <v>611</v>
      </c>
      <c r="B1010" t="str">
        <f t="shared" si="13"/>
        <v>I0026M2014-Q1</v>
      </c>
      <c r="C1010" t="s">
        <v>456</v>
      </c>
      <c r="D1010" t="s">
        <v>430</v>
      </c>
      <c r="E1010">
        <v>3.5</v>
      </c>
    </row>
    <row r="1011" spans="1:6" x14ac:dyDescent="0.25">
      <c r="A1011" t="s">
        <v>611</v>
      </c>
      <c r="B1011" t="str">
        <f t="shared" si="13"/>
        <v>I0026M2014-Q2</v>
      </c>
      <c r="C1011" t="s">
        <v>457</v>
      </c>
      <c r="D1011" t="s">
        <v>433</v>
      </c>
      <c r="E1011">
        <v>3.5</v>
      </c>
    </row>
    <row r="1012" spans="1:6" x14ac:dyDescent="0.25">
      <c r="A1012" t="s">
        <v>611</v>
      </c>
      <c r="B1012" t="str">
        <f t="shared" si="13"/>
        <v>I0026M2014-Q3</v>
      </c>
      <c r="C1012" t="s">
        <v>458</v>
      </c>
      <c r="D1012" t="s">
        <v>427</v>
      </c>
      <c r="E1012">
        <v>3.5</v>
      </c>
    </row>
    <row r="1013" spans="1:6" x14ac:dyDescent="0.25">
      <c r="A1013" t="s">
        <v>611</v>
      </c>
      <c r="B1013" t="str">
        <f t="shared" si="13"/>
        <v>I0026M2014-Q4</v>
      </c>
      <c r="C1013" t="s">
        <v>486</v>
      </c>
      <c r="D1013" t="s">
        <v>557</v>
      </c>
      <c r="E1013">
        <v>3.5</v>
      </c>
    </row>
    <row r="1014" spans="1:6" x14ac:dyDescent="0.25">
      <c r="A1014" t="s">
        <v>611</v>
      </c>
      <c r="B1014" t="str">
        <f t="shared" si="13"/>
        <v>I0026M2015-Q1</v>
      </c>
      <c r="C1014" t="s">
        <v>558</v>
      </c>
      <c r="D1014" t="s">
        <v>559</v>
      </c>
      <c r="E1014">
        <v>3.8</v>
      </c>
    </row>
    <row r="1015" spans="1:6" x14ac:dyDescent="0.25">
      <c r="A1015" t="s">
        <v>611</v>
      </c>
      <c r="B1015" t="str">
        <f t="shared" si="13"/>
        <v>I0026M2015-Q2</v>
      </c>
      <c r="C1015" t="s">
        <v>560</v>
      </c>
      <c r="D1015" t="s">
        <v>561</v>
      </c>
      <c r="E1015">
        <v>3.8</v>
      </c>
    </row>
    <row r="1016" spans="1:6" x14ac:dyDescent="0.25">
      <c r="A1016" t="s">
        <v>611</v>
      </c>
      <c r="B1016" t="str">
        <f t="shared" si="13"/>
        <v>I0026M2015-Q3</v>
      </c>
      <c r="C1016" t="s">
        <v>562</v>
      </c>
      <c r="D1016" t="s">
        <v>586</v>
      </c>
      <c r="E1016">
        <v>3.8</v>
      </c>
    </row>
    <row r="1017" spans="1:6" x14ac:dyDescent="0.25">
      <c r="A1017" t="s">
        <v>611</v>
      </c>
      <c r="B1017" t="str">
        <f t="shared" si="13"/>
        <v>I0026M2015-Q4</v>
      </c>
      <c r="C1017" t="s">
        <v>564</v>
      </c>
      <c r="D1017" t="s">
        <v>565</v>
      </c>
      <c r="E1017">
        <v>3.9</v>
      </c>
    </row>
    <row r="1018" spans="1:6" x14ac:dyDescent="0.25">
      <c r="A1018" t="s">
        <v>611</v>
      </c>
      <c r="B1018" t="str">
        <f t="shared" si="13"/>
        <v>I0026M2016-Q1</v>
      </c>
      <c r="C1018" t="s">
        <v>629</v>
      </c>
      <c r="D1018" t="s">
        <v>628</v>
      </c>
      <c r="E1018">
        <v>3.8</v>
      </c>
    </row>
    <row r="1019" spans="1:6" x14ac:dyDescent="0.25">
      <c r="A1019" t="s">
        <v>611</v>
      </c>
      <c r="B1019" t="str">
        <f t="shared" si="13"/>
        <v>I0026M2016-Q2</v>
      </c>
      <c r="C1019" t="s">
        <v>630</v>
      </c>
      <c r="D1019" t="s">
        <v>631</v>
      </c>
      <c r="E1019">
        <v>3.8</v>
      </c>
    </row>
    <row r="1020" spans="1:6" x14ac:dyDescent="0.25">
      <c r="A1020" t="s">
        <v>611</v>
      </c>
      <c r="B1020" t="str">
        <f t="shared" si="13"/>
        <v>I0026M2016-Q3</v>
      </c>
      <c r="C1020" t="s">
        <v>632</v>
      </c>
      <c r="D1020" t="s">
        <v>633</v>
      </c>
      <c r="E1020">
        <v>3.7</v>
      </c>
    </row>
    <row r="1021" spans="1:6" x14ac:dyDescent="0.25">
      <c r="A1021" t="s">
        <v>611</v>
      </c>
      <c r="B1021" t="str">
        <f t="shared" si="13"/>
        <v>I0026M2016-Q4</v>
      </c>
      <c r="C1021" t="s">
        <v>634</v>
      </c>
      <c r="D1021" t="s">
        <v>635</v>
      </c>
      <c r="E1021">
        <v>3.8</v>
      </c>
    </row>
    <row r="1022" spans="1:6" x14ac:dyDescent="0.25">
      <c r="A1022" t="s">
        <v>611</v>
      </c>
      <c r="B1022" t="str">
        <f t="shared" si="13"/>
        <v>I0026M2017-Q1</v>
      </c>
      <c r="C1022" t="s">
        <v>636</v>
      </c>
      <c r="D1022" t="s">
        <v>637</v>
      </c>
      <c r="E1022">
        <v>3.9</v>
      </c>
    </row>
    <row r="1023" spans="1:6" x14ac:dyDescent="0.25">
      <c r="A1023" t="s">
        <v>613</v>
      </c>
      <c r="B1023" t="str">
        <f t="shared" si="13"/>
        <v>I0027M2009-Q1</v>
      </c>
      <c r="C1023" t="s">
        <v>41</v>
      </c>
      <c r="D1023" t="s">
        <v>44</v>
      </c>
      <c r="E1023">
        <v>1</v>
      </c>
      <c r="F1023" t="s">
        <v>614</v>
      </c>
    </row>
    <row r="1024" spans="1:6" x14ac:dyDescent="0.25">
      <c r="A1024" t="s">
        <v>613</v>
      </c>
      <c r="B1024" t="str">
        <f t="shared" si="13"/>
        <v>I0027M2009-Q2</v>
      </c>
      <c r="C1024" t="s">
        <v>42</v>
      </c>
      <c r="D1024" t="s">
        <v>45</v>
      </c>
      <c r="E1024">
        <v>1</v>
      </c>
    </row>
    <row r="1025" spans="1:5" x14ac:dyDescent="0.25">
      <c r="A1025" t="s">
        <v>613</v>
      </c>
      <c r="B1025" t="str">
        <f t="shared" si="13"/>
        <v>I0027M2009-Q3</v>
      </c>
      <c r="C1025" t="s">
        <v>43</v>
      </c>
      <c r="D1025" t="s">
        <v>46</v>
      </c>
      <c r="E1025">
        <v>1.1000000000000001</v>
      </c>
    </row>
    <row r="1026" spans="1:5" x14ac:dyDescent="0.25">
      <c r="A1026" t="s">
        <v>613</v>
      </c>
      <c r="B1026" t="str">
        <f t="shared" si="13"/>
        <v>I0027M2009-Q4</v>
      </c>
      <c r="C1026" t="s">
        <v>40</v>
      </c>
      <c r="D1026" t="s">
        <v>47</v>
      </c>
      <c r="E1026">
        <v>1.1000000000000001</v>
      </c>
    </row>
    <row r="1027" spans="1:5" x14ac:dyDescent="0.25">
      <c r="A1027" t="s">
        <v>613</v>
      </c>
      <c r="B1027" t="str">
        <f t="shared" si="13"/>
        <v>I0027M2010-Q1</v>
      </c>
      <c r="C1027" t="s">
        <v>19</v>
      </c>
      <c r="D1027" t="s">
        <v>24</v>
      </c>
      <c r="E1027">
        <v>1.2</v>
      </c>
    </row>
    <row r="1028" spans="1:5" x14ac:dyDescent="0.25">
      <c r="A1028" t="s">
        <v>613</v>
      </c>
      <c r="B1028" t="str">
        <f t="shared" si="13"/>
        <v>I0027M2010-Q2</v>
      </c>
      <c r="C1028" t="s">
        <v>20</v>
      </c>
      <c r="D1028" t="s">
        <v>23</v>
      </c>
      <c r="E1028">
        <v>1.5</v>
      </c>
    </row>
    <row r="1029" spans="1:5" x14ac:dyDescent="0.25">
      <c r="A1029" t="s">
        <v>613</v>
      </c>
      <c r="B1029" t="str">
        <f t="shared" si="13"/>
        <v>I0027M2010-Q3</v>
      </c>
      <c r="C1029" t="s">
        <v>21</v>
      </c>
      <c r="D1029" t="s">
        <v>22</v>
      </c>
      <c r="E1029">
        <v>1.75</v>
      </c>
    </row>
    <row r="1030" spans="1:5" x14ac:dyDescent="0.25">
      <c r="A1030" t="s">
        <v>613</v>
      </c>
      <c r="B1030" t="str">
        <f t="shared" si="13"/>
        <v>I0027M2010-Q4</v>
      </c>
      <c r="C1030" t="s">
        <v>11</v>
      </c>
      <c r="D1030" t="s">
        <v>2</v>
      </c>
      <c r="E1030">
        <v>2</v>
      </c>
    </row>
    <row r="1031" spans="1:5" x14ac:dyDescent="0.25">
      <c r="A1031" t="s">
        <v>613</v>
      </c>
      <c r="B1031" t="str">
        <f t="shared" si="13"/>
        <v>I0027M2011-Q1</v>
      </c>
      <c r="C1031" t="s">
        <v>12</v>
      </c>
      <c r="D1031" t="s">
        <v>16</v>
      </c>
      <c r="E1031">
        <v>2.1</v>
      </c>
    </row>
    <row r="1032" spans="1:5" x14ac:dyDescent="0.25">
      <c r="A1032" t="s">
        <v>613</v>
      </c>
      <c r="B1032" t="str">
        <f t="shared" si="13"/>
        <v>I0027M2011-Q2</v>
      </c>
      <c r="C1032" t="s">
        <v>13</v>
      </c>
      <c r="D1032" t="s">
        <v>18</v>
      </c>
      <c r="E1032">
        <v>2.1</v>
      </c>
    </row>
    <row r="1033" spans="1:5" x14ac:dyDescent="0.25">
      <c r="A1033" t="s">
        <v>613</v>
      </c>
      <c r="B1033" t="str">
        <f t="shared" si="13"/>
        <v>I0027M2011-Q3</v>
      </c>
      <c r="C1033" t="s">
        <v>14</v>
      </c>
      <c r="D1033" t="s">
        <v>17</v>
      </c>
      <c r="E1033">
        <v>2.25</v>
      </c>
    </row>
    <row r="1034" spans="1:5" x14ac:dyDescent="0.25">
      <c r="A1034" t="s">
        <v>613</v>
      </c>
      <c r="B1034" t="str">
        <f t="shared" si="13"/>
        <v>I0027M2011-Q4</v>
      </c>
      <c r="C1034" t="s">
        <v>15</v>
      </c>
      <c r="D1034" t="s">
        <v>3</v>
      </c>
      <c r="E1034">
        <v>2.5</v>
      </c>
    </row>
    <row r="1035" spans="1:5" x14ac:dyDescent="0.25">
      <c r="A1035" t="s">
        <v>613</v>
      </c>
      <c r="B1035" t="str">
        <f t="shared" si="13"/>
        <v>I0027M2012-Q1</v>
      </c>
      <c r="C1035" t="s">
        <v>418</v>
      </c>
      <c r="D1035" t="s">
        <v>415</v>
      </c>
      <c r="E1035">
        <v>2.65</v>
      </c>
    </row>
    <row r="1036" spans="1:5" x14ac:dyDescent="0.25">
      <c r="A1036" t="s">
        <v>613</v>
      </c>
      <c r="B1036" t="str">
        <f t="shared" si="13"/>
        <v>I0027M2012-Q2</v>
      </c>
      <c r="C1036" t="s">
        <v>419</v>
      </c>
      <c r="D1036" t="s">
        <v>416</v>
      </c>
      <c r="E1036">
        <v>2.65</v>
      </c>
    </row>
    <row r="1037" spans="1:5" x14ac:dyDescent="0.25">
      <c r="A1037" t="s">
        <v>613</v>
      </c>
      <c r="B1037" t="str">
        <f t="shared" si="13"/>
        <v>I0027M2012-Q3</v>
      </c>
      <c r="C1037" t="s">
        <v>420</v>
      </c>
      <c r="D1037" t="s">
        <v>417</v>
      </c>
      <c r="E1037">
        <v>2.9</v>
      </c>
    </row>
    <row r="1038" spans="1:5" x14ac:dyDescent="0.25">
      <c r="A1038" t="s">
        <v>613</v>
      </c>
      <c r="B1038" t="str">
        <f t="shared" si="13"/>
        <v>I0027M2012-Q4</v>
      </c>
      <c r="C1038" t="s">
        <v>451</v>
      </c>
      <c r="D1038" t="s">
        <v>450</v>
      </c>
      <c r="E1038">
        <v>3</v>
      </c>
    </row>
    <row r="1039" spans="1:5" x14ac:dyDescent="0.25">
      <c r="A1039" t="s">
        <v>613</v>
      </c>
      <c r="B1039" t="str">
        <f t="shared" si="13"/>
        <v>I0027M2013-Q1</v>
      </c>
      <c r="C1039" t="s">
        <v>452</v>
      </c>
      <c r="D1039" t="s">
        <v>439</v>
      </c>
      <c r="E1039">
        <v>3</v>
      </c>
    </row>
    <row r="1040" spans="1:5" x14ac:dyDescent="0.25">
      <c r="A1040" t="s">
        <v>613</v>
      </c>
      <c r="B1040" t="str">
        <f t="shared" si="13"/>
        <v>I0027M2013-Q2</v>
      </c>
      <c r="C1040" t="s">
        <v>453</v>
      </c>
      <c r="D1040" t="s">
        <v>442</v>
      </c>
      <c r="E1040">
        <v>3</v>
      </c>
    </row>
    <row r="1041" spans="1:6" x14ac:dyDescent="0.25">
      <c r="A1041" t="s">
        <v>613</v>
      </c>
      <c r="B1041" t="str">
        <f t="shared" si="13"/>
        <v>I0027M2013-Q3</v>
      </c>
      <c r="C1041" t="s">
        <v>454</v>
      </c>
      <c r="D1041" t="s">
        <v>445</v>
      </c>
      <c r="E1041">
        <v>3.15</v>
      </c>
    </row>
    <row r="1042" spans="1:6" x14ac:dyDescent="0.25">
      <c r="A1042" t="s">
        <v>613</v>
      </c>
      <c r="B1042" t="str">
        <f t="shared" si="13"/>
        <v>I0027M2013-Q4</v>
      </c>
      <c r="C1042" t="s">
        <v>455</v>
      </c>
      <c r="D1042" t="s">
        <v>436</v>
      </c>
      <c r="E1042">
        <v>3.15</v>
      </c>
    </row>
    <row r="1043" spans="1:6" x14ac:dyDescent="0.25">
      <c r="A1043" t="s">
        <v>613</v>
      </c>
      <c r="B1043" t="str">
        <f t="shared" si="13"/>
        <v>I0027M2014-Q1</v>
      </c>
      <c r="C1043" t="s">
        <v>456</v>
      </c>
      <c r="D1043" t="s">
        <v>430</v>
      </c>
      <c r="E1043">
        <v>3.3</v>
      </c>
    </row>
    <row r="1044" spans="1:6" x14ac:dyDescent="0.25">
      <c r="A1044" t="s">
        <v>613</v>
      </c>
      <c r="B1044" t="str">
        <f t="shared" ref="B1044:B1122" si="14">CONCATENATE(A1044,"M",C1044)</f>
        <v>I0027M2014-Q2</v>
      </c>
      <c r="C1044" t="s">
        <v>457</v>
      </c>
      <c r="D1044" t="s">
        <v>433</v>
      </c>
      <c r="E1044">
        <v>3.3</v>
      </c>
    </row>
    <row r="1045" spans="1:6" x14ac:dyDescent="0.25">
      <c r="A1045" t="s">
        <v>613</v>
      </c>
      <c r="B1045" t="str">
        <f t="shared" si="14"/>
        <v>I0027M2014-Q3</v>
      </c>
      <c r="C1045" t="s">
        <v>458</v>
      </c>
      <c r="D1045" t="s">
        <v>427</v>
      </c>
      <c r="E1045">
        <v>2.9</v>
      </c>
    </row>
    <row r="1046" spans="1:6" x14ac:dyDescent="0.25">
      <c r="A1046" t="s">
        <v>613</v>
      </c>
      <c r="B1046" t="str">
        <f t="shared" si="14"/>
        <v>I0027M2014-Q4</v>
      </c>
      <c r="C1046" t="s">
        <v>486</v>
      </c>
      <c r="D1046" t="s">
        <v>557</v>
      </c>
      <c r="E1046">
        <v>3.1</v>
      </c>
    </row>
    <row r="1047" spans="1:6" x14ac:dyDescent="0.25">
      <c r="A1047" t="s">
        <v>613</v>
      </c>
      <c r="B1047" t="str">
        <f t="shared" si="14"/>
        <v>I0027M2015-Q1</v>
      </c>
      <c r="C1047" t="s">
        <v>558</v>
      </c>
      <c r="D1047" t="s">
        <v>559</v>
      </c>
      <c r="E1047">
        <v>3.3</v>
      </c>
    </row>
    <row r="1048" spans="1:6" x14ac:dyDescent="0.25">
      <c r="A1048" t="s">
        <v>613</v>
      </c>
      <c r="B1048" t="str">
        <f t="shared" si="14"/>
        <v>I0027M2015-Q2</v>
      </c>
      <c r="C1048" t="s">
        <v>560</v>
      </c>
      <c r="D1048" t="s">
        <v>561</v>
      </c>
      <c r="E1048">
        <v>3.45</v>
      </c>
    </row>
    <row r="1049" spans="1:6" x14ac:dyDescent="0.25">
      <c r="A1049" t="s">
        <v>613</v>
      </c>
      <c r="B1049" t="str">
        <f t="shared" si="14"/>
        <v>I0027M2015-Q3</v>
      </c>
      <c r="C1049" t="s">
        <v>562</v>
      </c>
      <c r="D1049" t="s">
        <v>586</v>
      </c>
      <c r="E1049">
        <v>3.45</v>
      </c>
    </row>
    <row r="1050" spans="1:6" x14ac:dyDescent="0.25">
      <c r="A1050" t="s">
        <v>613</v>
      </c>
      <c r="B1050" t="str">
        <f t="shared" si="14"/>
        <v>I0027M2015-Q4</v>
      </c>
      <c r="C1050" t="s">
        <v>564</v>
      </c>
      <c r="D1050" t="s">
        <v>565</v>
      </c>
      <c r="E1050">
        <v>3.65</v>
      </c>
    </row>
    <row r="1051" spans="1:6" x14ac:dyDescent="0.25">
      <c r="A1051" t="s">
        <v>613</v>
      </c>
      <c r="B1051" t="str">
        <f t="shared" si="14"/>
        <v>I0027M2016-Q1</v>
      </c>
      <c r="C1051" t="s">
        <v>629</v>
      </c>
      <c r="D1051" t="s">
        <v>628</v>
      </c>
      <c r="E1051">
        <v>3.7</v>
      </c>
    </row>
    <row r="1052" spans="1:6" x14ac:dyDescent="0.25">
      <c r="A1052" t="s">
        <v>613</v>
      </c>
      <c r="B1052" t="str">
        <f t="shared" si="14"/>
        <v>I0027M2016-Q2</v>
      </c>
      <c r="C1052" t="s">
        <v>630</v>
      </c>
      <c r="D1052" t="s">
        <v>631</v>
      </c>
      <c r="E1052">
        <v>3.72</v>
      </c>
    </row>
    <row r="1053" spans="1:6" x14ac:dyDescent="0.25">
      <c r="A1053" t="s">
        <v>613</v>
      </c>
      <c r="B1053" t="str">
        <f t="shared" si="14"/>
        <v>I0027M2016-Q3</v>
      </c>
      <c r="C1053" t="s">
        <v>632</v>
      </c>
      <c r="D1053" t="s">
        <v>633</v>
      </c>
      <c r="E1053">
        <v>3.73</v>
      </c>
    </row>
    <row r="1054" spans="1:6" x14ac:dyDescent="0.25">
      <c r="A1054" t="s">
        <v>613</v>
      </c>
      <c r="B1054" t="str">
        <f t="shared" si="14"/>
        <v>I0027M2016-Q4</v>
      </c>
      <c r="C1054" t="s">
        <v>634</v>
      </c>
      <c r="D1054" t="s">
        <v>635</v>
      </c>
      <c r="E1054">
        <v>3.75</v>
      </c>
    </row>
    <row r="1055" spans="1:6" x14ac:dyDescent="0.25">
      <c r="A1055" t="s">
        <v>613</v>
      </c>
      <c r="B1055" t="str">
        <f t="shared" si="14"/>
        <v>I0027M2017-Q1</v>
      </c>
      <c r="C1055" t="s">
        <v>636</v>
      </c>
      <c r="D1055" t="s">
        <v>637</v>
      </c>
      <c r="E1055">
        <v>3.8</v>
      </c>
    </row>
    <row r="1056" spans="1:6" x14ac:dyDescent="0.25">
      <c r="A1056" t="s">
        <v>615</v>
      </c>
      <c r="B1056" t="str">
        <f t="shared" si="14"/>
        <v>I0028M2009-Q1</v>
      </c>
      <c r="C1056" t="s">
        <v>41</v>
      </c>
      <c r="D1056" t="s">
        <v>44</v>
      </c>
      <c r="E1056">
        <v>0.4</v>
      </c>
      <c r="F1056" t="s">
        <v>616</v>
      </c>
    </row>
    <row r="1057" spans="1:5" x14ac:dyDescent="0.25">
      <c r="A1057" t="s">
        <v>615</v>
      </c>
      <c r="B1057" t="str">
        <f t="shared" si="14"/>
        <v>I0028M2009-Q2</v>
      </c>
      <c r="C1057" t="s">
        <v>42</v>
      </c>
      <c r="D1057" t="s">
        <v>45</v>
      </c>
      <c r="E1057">
        <v>0.8</v>
      </c>
    </row>
    <row r="1058" spans="1:5" x14ac:dyDescent="0.25">
      <c r="A1058" t="s">
        <v>615</v>
      </c>
      <c r="B1058" t="str">
        <f t="shared" si="14"/>
        <v>I0028M2009-Q3</v>
      </c>
      <c r="C1058" t="s">
        <v>43</v>
      </c>
      <c r="D1058" t="s">
        <v>46</v>
      </c>
      <c r="E1058">
        <v>0.95</v>
      </c>
    </row>
    <row r="1059" spans="1:5" x14ac:dyDescent="0.25">
      <c r="A1059" t="s">
        <v>615</v>
      </c>
      <c r="B1059" t="str">
        <f t="shared" si="14"/>
        <v>I0028M2009-Q4</v>
      </c>
      <c r="C1059" t="s">
        <v>40</v>
      </c>
      <c r="D1059" t="s">
        <v>47</v>
      </c>
      <c r="E1059">
        <v>1.2</v>
      </c>
    </row>
    <row r="1060" spans="1:5" x14ac:dyDescent="0.25">
      <c r="A1060" t="s">
        <v>615</v>
      </c>
      <c r="B1060" t="str">
        <f t="shared" si="14"/>
        <v>I0028M2010-Q1</v>
      </c>
      <c r="C1060" t="s">
        <v>19</v>
      </c>
      <c r="D1060" t="s">
        <v>24</v>
      </c>
      <c r="E1060">
        <v>1.25</v>
      </c>
    </row>
    <row r="1061" spans="1:5" x14ac:dyDescent="0.25">
      <c r="A1061" t="s">
        <v>615</v>
      </c>
      <c r="B1061" t="str">
        <f t="shared" si="14"/>
        <v>I0028M2010-Q2</v>
      </c>
      <c r="C1061" t="s">
        <v>20</v>
      </c>
      <c r="D1061" t="s">
        <v>23</v>
      </c>
      <c r="E1061">
        <v>1.25</v>
      </c>
    </row>
    <row r="1062" spans="1:5" x14ac:dyDescent="0.25">
      <c r="A1062" t="s">
        <v>615</v>
      </c>
      <c r="B1062" t="str">
        <f t="shared" si="14"/>
        <v>I0028M2010-Q3</v>
      </c>
      <c r="C1062" t="s">
        <v>21</v>
      </c>
      <c r="D1062" t="s">
        <v>22</v>
      </c>
      <c r="E1062">
        <v>1.55</v>
      </c>
    </row>
    <row r="1063" spans="1:5" x14ac:dyDescent="0.25">
      <c r="A1063" t="s">
        <v>615</v>
      </c>
      <c r="B1063" t="str">
        <f t="shared" si="14"/>
        <v>I0028M2010-Q4</v>
      </c>
      <c r="C1063" t="s">
        <v>11</v>
      </c>
      <c r="D1063" t="s">
        <v>2</v>
      </c>
      <c r="E1063">
        <v>1.65</v>
      </c>
    </row>
    <row r="1064" spans="1:5" x14ac:dyDescent="0.25">
      <c r="A1064" t="s">
        <v>615</v>
      </c>
      <c r="B1064" t="str">
        <f t="shared" si="14"/>
        <v>I0028M2011-Q1</v>
      </c>
      <c r="C1064" t="s">
        <v>12</v>
      </c>
      <c r="D1064" t="s">
        <v>16</v>
      </c>
      <c r="E1064">
        <v>2</v>
      </c>
    </row>
    <row r="1065" spans="1:5" x14ac:dyDescent="0.25">
      <c r="A1065" t="s">
        <v>615</v>
      </c>
      <c r="B1065" t="str">
        <f t="shared" si="14"/>
        <v>I0028M2011-Q2</v>
      </c>
      <c r="C1065" t="s">
        <v>13</v>
      </c>
      <c r="D1065" t="s">
        <v>18</v>
      </c>
      <c r="E1065">
        <v>2.15</v>
      </c>
    </row>
    <row r="1066" spans="1:5" x14ac:dyDescent="0.25">
      <c r="A1066" t="s">
        <v>615</v>
      </c>
      <c r="B1066" t="str">
        <f t="shared" si="14"/>
        <v>I0028M2011-Q3</v>
      </c>
      <c r="C1066" t="s">
        <v>14</v>
      </c>
      <c r="D1066" t="s">
        <v>17</v>
      </c>
      <c r="E1066">
        <v>2</v>
      </c>
    </row>
    <row r="1067" spans="1:5" x14ac:dyDescent="0.25">
      <c r="A1067" t="s">
        <v>615</v>
      </c>
      <c r="B1067" t="str">
        <f t="shared" si="14"/>
        <v>I0028M2011-Q4</v>
      </c>
      <c r="C1067" t="s">
        <v>15</v>
      </c>
      <c r="D1067" t="s">
        <v>3</v>
      </c>
      <c r="E1067">
        <v>1.95</v>
      </c>
    </row>
    <row r="1068" spans="1:5" x14ac:dyDescent="0.25">
      <c r="A1068" t="s">
        <v>615</v>
      </c>
      <c r="B1068" t="str">
        <f t="shared" si="14"/>
        <v>I0028M2012-Q1</v>
      </c>
      <c r="C1068" t="s">
        <v>418</v>
      </c>
      <c r="D1068" t="s">
        <v>415</v>
      </c>
      <c r="E1068">
        <v>2.25</v>
      </c>
    </row>
    <row r="1069" spans="1:5" x14ac:dyDescent="0.25">
      <c r="A1069" t="s">
        <v>615</v>
      </c>
      <c r="B1069" t="str">
        <f t="shared" si="14"/>
        <v>I0028M2012-Q2</v>
      </c>
      <c r="C1069" t="s">
        <v>419</v>
      </c>
      <c r="D1069" t="s">
        <v>416</v>
      </c>
      <c r="E1069">
        <v>2.35</v>
      </c>
    </row>
    <row r="1070" spans="1:5" x14ac:dyDescent="0.25">
      <c r="A1070" t="s">
        <v>615</v>
      </c>
      <c r="B1070" t="str">
        <f t="shared" si="14"/>
        <v>I0028M2012-Q3</v>
      </c>
      <c r="C1070" t="s">
        <v>420</v>
      </c>
      <c r="D1070" t="s">
        <v>417</v>
      </c>
      <c r="E1070">
        <v>2.5499999999999998</v>
      </c>
    </row>
    <row r="1071" spans="1:5" x14ac:dyDescent="0.25">
      <c r="A1071" t="s">
        <v>615</v>
      </c>
      <c r="B1071" t="str">
        <f t="shared" si="14"/>
        <v>I0028M2012-Q4</v>
      </c>
      <c r="C1071" t="s">
        <v>451</v>
      </c>
      <c r="D1071" t="s">
        <v>450</v>
      </c>
      <c r="E1071">
        <v>2.5499999999999998</v>
      </c>
    </row>
    <row r="1072" spans="1:5" x14ac:dyDescent="0.25">
      <c r="A1072" t="s">
        <v>615</v>
      </c>
      <c r="B1072" t="str">
        <f t="shared" si="14"/>
        <v>I0028M2013-Q1</v>
      </c>
      <c r="C1072" t="s">
        <v>452</v>
      </c>
      <c r="D1072" t="s">
        <v>439</v>
      </c>
      <c r="E1072">
        <v>2.75</v>
      </c>
    </row>
    <row r="1073" spans="1:5" x14ac:dyDescent="0.25">
      <c r="A1073" t="s">
        <v>615</v>
      </c>
      <c r="B1073" t="str">
        <f t="shared" si="14"/>
        <v>I0028M2013-Q2</v>
      </c>
      <c r="C1073" t="s">
        <v>453</v>
      </c>
      <c r="D1073" t="s">
        <v>442</v>
      </c>
      <c r="E1073">
        <v>2.9</v>
      </c>
    </row>
    <row r="1074" spans="1:5" x14ac:dyDescent="0.25">
      <c r="A1074" t="s">
        <v>615</v>
      </c>
      <c r="B1074" t="str">
        <f t="shared" si="14"/>
        <v>I0028M2013-Q3</v>
      </c>
      <c r="C1074" t="s">
        <v>454</v>
      </c>
      <c r="D1074" t="s">
        <v>445</v>
      </c>
      <c r="E1074">
        <v>3.1</v>
      </c>
    </row>
    <row r="1075" spans="1:5" x14ac:dyDescent="0.25">
      <c r="A1075" t="s">
        <v>615</v>
      </c>
      <c r="B1075" t="str">
        <f t="shared" si="14"/>
        <v>I0028M2013-Q4</v>
      </c>
      <c r="C1075" t="s">
        <v>455</v>
      </c>
      <c r="D1075" t="s">
        <v>436</v>
      </c>
      <c r="E1075">
        <v>3</v>
      </c>
    </row>
    <row r="1076" spans="1:5" x14ac:dyDescent="0.25">
      <c r="A1076" t="s">
        <v>615</v>
      </c>
      <c r="B1076" t="str">
        <f t="shared" si="14"/>
        <v>I0028M2014-Q1</v>
      </c>
      <c r="C1076" t="s">
        <v>456</v>
      </c>
      <c r="D1076" t="s">
        <v>430</v>
      </c>
      <c r="E1076">
        <v>3.15</v>
      </c>
    </row>
    <row r="1077" spans="1:5" x14ac:dyDescent="0.25">
      <c r="A1077" t="s">
        <v>615</v>
      </c>
      <c r="B1077" t="str">
        <f t="shared" si="14"/>
        <v>I0028M2014-Q2</v>
      </c>
      <c r="C1077" t="s">
        <v>457</v>
      </c>
      <c r="D1077" t="s">
        <v>433</v>
      </c>
      <c r="E1077">
        <v>3.25</v>
      </c>
    </row>
    <row r="1078" spans="1:5" x14ac:dyDescent="0.25">
      <c r="A1078" t="s">
        <v>615</v>
      </c>
      <c r="B1078" t="str">
        <f t="shared" si="14"/>
        <v>I0028M2014-Q3</v>
      </c>
      <c r="C1078" t="s">
        <v>458</v>
      </c>
      <c r="D1078" t="s">
        <v>427</v>
      </c>
      <c r="E1078">
        <v>3.35</v>
      </c>
    </row>
    <row r="1079" spans="1:5" x14ac:dyDescent="0.25">
      <c r="A1079" t="s">
        <v>615</v>
      </c>
      <c r="B1079" t="str">
        <f t="shared" si="14"/>
        <v>I0028M2014-Q4</v>
      </c>
      <c r="C1079" t="s">
        <v>486</v>
      </c>
      <c r="D1079" t="s">
        <v>557</v>
      </c>
      <c r="E1079">
        <v>3.5</v>
      </c>
    </row>
    <row r="1080" spans="1:5" x14ac:dyDescent="0.25">
      <c r="A1080" t="s">
        <v>615</v>
      </c>
      <c r="B1080" t="str">
        <f t="shared" si="14"/>
        <v>I0028M2015-Q1</v>
      </c>
      <c r="C1080" t="s">
        <v>558</v>
      </c>
      <c r="D1080" t="s">
        <v>559</v>
      </c>
      <c r="E1080">
        <v>3.55</v>
      </c>
    </row>
    <row r="1081" spans="1:5" x14ac:dyDescent="0.25">
      <c r="A1081" t="s">
        <v>615</v>
      </c>
      <c r="B1081" t="str">
        <f t="shared" si="14"/>
        <v>I0028M2015-Q2</v>
      </c>
      <c r="C1081" t="s">
        <v>560</v>
      </c>
      <c r="D1081" t="s">
        <v>561</v>
      </c>
      <c r="E1081">
        <v>3.75</v>
      </c>
    </row>
    <row r="1082" spans="1:5" x14ac:dyDescent="0.25">
      <c r="A1082" t="s">
        <v>615</v>
      </c>
      <c r="B1082" t="str">
        <f t="shared" si="14"/>
        <v>I0028M2015-Q3</v>
      </c>
      <c r="C1082" t="s">
        <v>562</v>
      </c>
      <c r="D1082" t="s">
        <v>586</v>
      </c>
      <c r="E1082">
        <v>3.85</v>
      </c>
    </row>
    <row r="1083" spans="1:5" x14ac:dyDescent="0.25">
      <c r="A1083" t="s">
        <v>615</v>
      </c>
      <c r="B1083" t="str">
        <f t="shared" si="14"/>
        <v>I0028M2015-Q4</v>
      </c>
      <c r="C1083" t="s">
        <v>564</v>
      </c>
      <c r="D1083" t="s">
        <v>565</v>
      </c>
      <c r="E1083">
        <v>3.85</v>
      </c>
    </row>
    <row r="1084" spans="1:5" x14ac:dyDescent="0.25">
      <c r="A1084" t="s">
        <v>615</v>
      </c>
      <c r="B1084" t="str">
        <f t="shared" si="14"/>
        <v>I0028M2016-Q1</v>
      </c>
      <c r="C1084" t="s">
        <v>629</v>
      </c>
      <c r="D1084" t="s">
        <v>628</v>
      </c>
      <c r="E1084">
        <v>3.87</v>
      </c>
    </row>
    <row r="1085" spans="1:5" x14ac:dyDescent="0.25">
      <c r="A1085" t="s">
        <v>615</v>
      </c>
      <c r="B1085" t="str">
        <f t="shared" si="14"/>
        <v>I0028M2016-Q2</v>
      </c>
      <c r="C1085" t="s">
        <v>630</v>
      </c>
      <c r="D1085" t="s">
        <v>631</v>
      </c>
      <c r="E1085">
        <v>3.88</v>
      </c>
    </row>
    <row r="1086" spans="1:5" x14ac:dyDescent="0.25">
      <c r="A1086" t="s">
        <v>615</v>
      </c>
      <c r="B1086" t="str">
        <f t="shared" si="14"/>
        <v>I0028M2016-Q3</v>
      </c>
      <c r="C1086" t="s">
        <v>632</v>
      </c>
      <c r="D1086" t="s">
        <v>633</v>
      </c>
      <c r="E1086">
        <v>3.9</v>
      </c>
    </row>
    <row r="1087" spans="1:5" x14ac:dyDescent="0.25">
      <c r="A1087" t="s">
        <v>615</v>
      </c>
      <c r="B1087" t="str">
        <f t="shared" si="14"/>
        <v>I0028M2016-Q4</v>
      </c>
      <c r="C1087" t="s">
        <v>634</v>
      </c>
      <c r="D1087" t="s">
        <v>635</v>
      </c>
      <c r="E1087">
        <v>3.92</v>
      </c>
    </row>
    <row r="1088" spans="1:5" x14ac:dyDescent="0.25">
      <c r="A1088" t="s">
        <v>615</v>
      </c>
      <c r="B1088" t="str">
        <f t="shared" si="14"/>
        <v>I0028M2017-Q1</v>
      </c>
      <c r="C1088" t="s">
        <v>636</v>
      </c>
      <c r="D1088" t="s">
        <v>637</v>
      </c>
      <c r="E1088">
        <v>3.87</v>
      </c>
    </row>
    <row r="1089" spans="1:6" x14ac:dyDescent="0.25">
      <c r="A1089" t="s">
        <v>617</v>
      </c>
      <c r="B1089" t="str">
        <f t="shared" si="14"/>
        <v>I0030M2009-Q1</v>
      </c>
      <c r="C1089" t="s">
        <v>41</v>
      </c>
      <c r="D1089" t="s">
        <v>44</v>
      </c>
      <c r="E1089">
        <v>1</v>
      </c>
      <c r="F1089" t="s">
        <v>618</v>
      </c>
    </row>
    <row r="1090" spans="1:6" x14ac:dyDescent="0.25">
      <c r="A1090" t="s">
        <v>617</v>
      </c>
      <c r="B1090" t="str">
        <f t="shared" si="14"/>
        <v>I0030M2009-Q2</v>
      </c>
      <c r="C1090" t="s">
        <v>42</v>
      </c>
      <c r="D1090" t="s">
        <v>45</v>
      </c>
      <c r="E1090">
        <v>1</v>
      </c>
    </row>
    <row r="1091" spans="1:6" x14ac:dyDescent="0.25">
      <c r="A1091" t="s">
        <v>617</v>
      </c>
      <c r="B1091" t="str">
        <f t="shared" si="14"/>
        <v>I0030M2009-Q3</v>
      </c>
      <c r="C1091" t="s">
        <v>43</v>
      </c>
      <c r="D1091" t="s">
        <v>46</v>
      </c>
      <c r="E1091">
        <v>1</v>
      </c>
    </row>
    <row r="1092" spans="1:6" x14ac:dyDescent="0.25">
      <c r="A1092" t="s">
        <v>617</v>
      </c>
      <c r="B1092" t="str">
        <f t="shared" si="14"/>
        <v>I0030M2009-Q4</v>
      </c>
      <c r="C1092" t="s">
        <v>40</v>
      </c>
      <c r="D1092" t="s">
        <v>47</v>
      </c>
      <c r="E1092">
        <v>1</v>
      </c>
    </row>
    <row r="1093" spans="1:6" x14ac:dyDescent="0.25">
      <c r="A1093" t="s">
        <v>617</v>
      </c>
      <c r="B1093" t="str">
        <f t="shared" si="14"/>
        <v>I0030M2010-Q1</v>
      </c>
      <c r="C1093" t="s">
        <v>19</v>
      </c>
      <c r="D1093" t="s">
        <v>24</v>
      </c>
      <c r="E1093">
        <v>1.5</v>
      </c>
    </row>
    <row r="1094" spans="1:6" x14ac:dyDescent="0.25">
      <c r="A1094" t="s">
        <v>617</v>
      </c>
      <c r="B1094" t="str">
        <f t="shared" si="14"/>
        <v>I0030M2010-Q2</v>
      </c>
      <c r="C1094" t="s">
        <v>20</v>
      </c>
      <c r="D1094" t="s">
        <v>23</v>
      </c>
      <c r="E1094">
        <v>1.5</v>
      </c>
    </row>
    <row r="1095" spans="1:6" x14ac:dyDescent="0.25">
      <c r="A1095" t="s">
        <v>617</v>
      </c>
      <c r="B1095" t="str">
        <f t="shared" si="14"/>
        <v>I0030M2010-Q3</v>
      </c>
      <c r="C1095" t="s">
        <v>21</v>
      </c>
      <c r="D1095" t="s">
        <v>22</v>
      </c>
      <c r="E1095">
        <v>1.5</v>
      </c>
    </row>
    <row r="1096" spans="1:6" x14ac:dyDescent="0.25">
      <c r="A1096" t="s">
        <v>617</v>
      </c>
      <c r="B1096" t="str">
        <f t="shared" si="14"/>
        <v>I0030M2010-Q4</v>
      </c>
      <c r="C1096" t="s">
        <v>11</v>
      </c>
      <c r="D1096" t="s">
        <v>2</v>
      </c>
      <c r="E1096">
        <v>1.5</v>
      </c>
    </row>
    <row r="1097" spans="1:6" x14ac:dyDescent="0.25">
      <c r="A1097" t="s">
        <v>617</v>
      </c>
      <c r="B1097" t="str">
        <f t="shared" si="14"/>
        <v>I0030M2011-Q1</v>
      </c>
      <c r="C1097" t="s">
        <v>12</v>
      </c>
      <c r="D1097" t="s">
        <v>16</v>
      </c>
      <c r="E1097">
        <v>1.75</v>
      </c>
    </row>
    <row r="1098" spans="1:6" x14ac:dyDescent="0.25">
      <c r="A1098" t="s">
        <v>617</v>
      </c>
      <c r="B1098" t="str">
        <f t="shared" si="14"/>
        <v>I0030M2011-Q2</v>
      </c>
      <c r="C1098" t="s">
        <v>13</v>
      </c>
      <c r="D1098" t="s">
        <v>18</v>
      </c>
      <c r="E1098">
        <v>1.75</v>
      </c>
    </row>
    <row r="1099" spans="1:6" x14ac:dyDescent="0.25">
      <c r="A1099" t="s">
        <v>617</v>
      </c>
      <c r="B1099" t="str">
        <f t="shared" si="14"/>
        <v>I0030M2011-Q3</v>
      </c>
      <c r="C1099" t="s">
        <v>14</v>
      </c>
      <c r="D1099" t="s">
        <v>17</v>
      </c>
      <c r="E1099">
        <v>2</v>
      </c>
    </row>
    <row r="1100" spans="1:6" x14ac:dyDescent="0.25">
      <c r="A1100" t="s">
        <v>617</v>
      </c>
      <c r="B1100" t="str">
        <f t="shared" si="14"/>
        <v>I0030M2011-Q4</v>
      </c>
      <c r="C1100" t="s">
        <v>15</v>
      </c>
      <c r="D1100" t="s">
        <v>3</v>
      </c>
      <c r="E1100">
        <v>2</v>
      </c>
    </row>
    <row r="1101" spans="1:6" x14ac:dyDescent="0.25">
      <c r="A1101" t="s">
        <v>617</v>
      </c>
      <c r="B1101" t="str">
        <f t="shared" si="14"/>
        <v>I0030M2012-Q1</v>
      </c>
      <c r="C1101" t="s">
        <v>418</v>
      </c>
      <c r="D1101" t="s">
        <v>415</v>
      </c>
      <c r="E1101">
        <v>2.15</v>
      </c>
    </row>
    <row r="1102" spans="1:6" x14ac:dyDescent="0.25">
      <c r="A1102" t="s">
        <v>617</v>
      </c>
      <c r="B1102" t="str">
        <f t="shared" si="14"/>
        <v>I0030M2012-Q2</v>
      </c>
      <c r="C1102" t="s">
        <v>419</v>
      </c>
      <c r="D1102" t="s">
        <v>416</v>
      </c>
      <c r="E1102">
        <v>2.2200000000000002</v>
      </c>
    </row>
    <row r="1103" spans="1:6" x14ac:dyDescent="0.25">
      <c r="A1103" t="s">
        <v>617</v>
      </c>
      <c r="B1103" t="str">
        <f t="shared" si="14"/>
        <v>I0030M2012-Q3</v>
      </c>
      <c r="C1103" t="s">
        <v>420</v>
      </c>
      <c r="D1103" t="s">
        <v>417</v>
      </c>
      <c r="E1103">
        <v>2.35</v>
      </c>
    </row>
    <row r="1104" spans="1:6" x14ac:dyDescent="0.25">
      <c r="A1104" t="s">
        <v>617</v>
      </c>
      <c r="B1104" t="str">
        <f t="shared" si="14"/>
        <v>I0030M2012-Q4</v>
      </c>
      <c r="C1104" t="s">
        <v>451</v>
      </c>
      <c r="D1104" t="s">
        <v>450</v>
      </c>
      <c r="E1104">
        <v>2.2999999999999998</v>
      </c>
    </row>
    <row r="1105" spans="1:5" x14ac:dyDescent="0.25">
      <c r="A1105" t="s">
        <v>617</v>
      </c>
      <c r="B1105" t="str">
        <f t="shared" si="14"/>
        <v>I0030M2013-Q1</v>
      </c>
      <c r="C1105" t="s">
        <v>452</v>
      </c>
      <c r="D1105" t="s">
        <v>439</v>
      </c>
      <c r="E1105">
        <v>2.4</v>
      </c>
    </row>
    <row r="1106" spans="1:5" x14ac:dyDescent="0.25">
      <c r="A1106" t="s">
        <v>617</v>
      </c>
      <c r="B1106" t="str">
        <f t="shared" si="14"/>
        <v>I0030M2013-Q2</v>
      </c>
      <c r="C1106" t="s">
        <v>453</v>
      </c>
      <c r="D1106" t="s">
        <v>442</v>
      </c>
      <c r="E1106">
        <v>2.4500000000000002</v>
      </c>
    </row>
    <row r="1107" spans="1:5" x14ac:dyDescent="0.25">
      <c r="A1107" t="s">
        <v>617</v>
      </c>
      <c r="B1107" t="str">
        <f t="shared" si="14"/>
        <v>I0030M2013-Q3</v>
      </c>
      <c r="C1107" t="s">
        <v>454</v>
      </c>
      <c r="D1107" t="s">
        <v>445</v>
      </c>
      <c r="E1107">
        <v>2.5499999999999998</v>
      </c>
    </row>
    <row r="1108" spans="1:5" x14ac:dyDescent="0.25">
      <c r="A1108" t="s">
        <v>617</v>
      </c>
      <c r="B1108" t="str">
        <f t="shared" si="14"/>
        <v>I0030M2013-Q4</v>
      </c>
      <c r="C1108" t="s">
        <v>455</v>
      </c>
      <c r="D1108" t="s">
        <v>436</v>
      </c>
      <c r="E1108">
        <v>2.5</v>
      </c>
    </row>
    <row r="1109" spans="1:5" x14ac:dyDescent="0.25">
      <c r="A1109" t="s">
        <v>617</v>
      </c>
      <c r="B1109" t="str">
        <f t="shared" si="14"/>
        <v>I0030M2014-Q1</v>
      </c>
      <c r="C1109" t="s">
        <v>456</v>
      </c>
      <c r="D1109" t="s">
        <v>430</v>
      </c>
      <c r="E1109">
        <v>2.4500000000000002</v>
      </c>
    </row>
    <row r="1110" spans="1:5" x14ac:dyDescent="0.25">
      <c r="A1110" t="s">
        <v>617</v>
      </c>
      <c r="B1110" t="str">
        <f t="shared" si="14"/>
        <v>I0030M2014-Q2</v>
      </c>
      <c r="C1110" t="s">
        <v>457</v>
      </c>
      <c r="D1110" t="s">
        <v>433</v>
      </c>
      <c r="E1110">
        <v>2.5499999999999998</v>
      </c>
    </row>
    <row r="1111" spans="1:5" x14ac:dyDescent="0.25">
      <c r="A1111" t="s">
        <v>617</v>
      </c>
      <c r="B1111" t="str">
        <f t="shared" si="14"/>
        <v>I0030M2014-Q3</v>
      </c>
      <c r="C1111" t="s">
        <v>458</v>
      </c>
      <c r="D1111" t="s">
        <v>427</v>
      </c>
      <c r="E1111">
        <v>2.4500000000000002</v>
      </c>
    </row>
    <row r="1112" spans="1:5" x14ac:dyDescent="0.25">
      <c r="A1112" t="s">
        <v>617</v>
      </c>
      <c r="B1112" t="str">
        <f t="shared" si="14"/>
        <v>I0030M2014-Q4</v>
      </c>
      <c r="C1112" t="s">
        <v>486</v>
      </c>
      <c r="D1112" t="s">
        <v>557</v>
      </c>
      <c r="E1112">
        <v>2.5499999999999998</v>
      </c>
    </row>
    <row r="1113" spans="1:5" x14ac:dyDescent="0.25">
      <c r="A1113" t="s">
        <v>617</v>
      </c>
      <c r="B1113" t="str">
        <f t="shared" si="14"/>
        <v>I0030M2015-Q1</v>
      </c>
      <c r="C1113" t="s">
        <v>558</v>
      </c>
      <c r="D1113" t="s">
        <v>559</v>
      </c>
      <c r="E1113">
        <v>2.6</v>
      </c>
    </row>
    <row r="1114" spans="1:5" x14ac:dyDescent="0.25">
      <c r="A1114" t="s">
        <v>617</v>
      </c>
      <c r="B1114" t="str">
        <f t="shared" si="14"/>
        <v>I0030M2015-Q2</v>
      </c>
      <c r="C1114" t="s">
        <v>560</v>
      </c>
      <c r="D1114" t="s">
        <v>561</v>
      </c>
      <c r="E1114">
        <v>2.75</v>
      </c>
    </row>
    <row r="1115" spans="1:5" x14ac:dyDescent="0.25">
      <c r="A1115" t="s">
        <v>617</v>
      </c>
      <c r="B1115" t="str">
        <f t="shared" si="14"/>
        <v>I0030M2015-Q3</v>
      </c>
      <c r="C1115" t="s">
        <v>562</v>
      </c>
      <c r="D1115" t="s">
        <v>586</v>
      </c>
      <c r="E1115">
        <v>2.85</v>
      </c>
    </row>
    <row r="1116" spans="1:5" x14ac:dyDescent="0.25">
      <c r="A1116" t="s">
        <v>617</v>
      </c>
      <c r="B1116" t="str">
        <f t="shared" si="14"/>
        <v>I0030M2015-Q4</v>
      </c>
      <c r="C1116" t="s">
        <v>564</v>
      </c>
      <c r="D1116" t="s">
        <v>565</v>
      </c>
      <c r="E1116">
        <v>2.95</v>
      </c>
    </row>
    <row r="1117" spans="1:5" x14ac:dyDescent="0.25">
      <c r="A1117" t="s">
        <v>617</v>
      </c>
      <c r="B1117" t="str">
        <f t="shared" si="14"/>
        <v>I0030M2016-Q1</v>
      </c>
      <c r="C1117" t="s">
        <v>629</v>
      </c>
      <c r="D1117" t="s">
        <v>628</v>
      </c>
      <c r="E1117">
        <v>2.97</v>
      </c>
    </row>
    <row r="1118" spans="1:5" x14ac:dyDescent="0.25">
      <c r="A1118" t="s">
        <v>617</v>
      </c>
      <c r="B1118" t="str">
        <f t="shared" si="14"/>
        <v>I0030M2016-Q2</v>
      </c>
      <c r="C1118" t="s">
        <v>630</v>
      </c>
      <c r="D1118" t="s">
        <v>631</v>
      </c>
      <c r="E1118">
        <v>2.96</v>
      </c>
    </row>
    <row r="1119" spans="1:5" x14ac:dyDescent="0.25">
      <c r="A1119" t="s">
        <v>617</v>
      </c>
      <c r="B1119" t="str">
        <f t="shared" si="14"/>
        <v>I0030M2016-Q3</v>
      </c>
      <c r="C1119" t="s">
        <v>632</v>
      </c>
      <c r="D1119" t="s">
        <v>633</v>
      </c>
      <c r="E1119">
        <v>2.95</v>
      </c>
    </row>
    <row r="1120" spans="1:5" x14ac:dyDescent="0.25">
      <c r="A1120" t="s">
        <v>617</v>
      </c>
      <c r="B1120" t="str">
        <f t="shared" si="14"/>
        <v>I0030M2016-Q4</v>
      </c>
      <c r="C1120" t="s">
        <v>634</v>
      </c>
      <c r="D1120" t="s">
        <v>635</v>
      </c>
      <c r="E1120">
        <v>2.97</v>
      </c>
    </row>
    <row r="1121" spans="1:6" x14ac:dyDescent="0.25">
      <c r="A1121" t="s">
        <v>617</v>
      </c>
      <c r="B1121" t="str">
        <f t="shared" si="14"/>
        <v>I0030M2017-Q1</v>
      </c>
      <c r="C1121" t="s">
        <v>636</v>
      </c>
      <c r="D1121" t="s">
        <v>637</v>
      </c>
      <c r="E1121">
        <v>2.97</v>
      </c>
    </row>
    <row r="1122" spans="1:6" x14ac:dyDescent="0.25">
      <c r="A1122" t="s">
        <v>619</v>
      </c>
      <c r="B1122" t="str">
        <f t="shared" si="14"/>
        <v>I0031M2009-Q1</v>
      </c>
      <c r="C1122" t="s">
        <v>41</v>
      </c>
      <c r="D1122" t="s">
        <v>44</v>
      </c>
      <c r="E1122">
        <v>68</v>
      </c>
      <c r="F1122" t="s">
        <v>620</v>
      </c>
    </row>
    <row r="1123" spans="1:6" x14ac:dyDescent="0.25">
      <c r="A1123" t="s">
        <v>619</v>
      </c>
      <c r="B1123" t="str">
        <f t="shared" ref="B1123:B1154" si="15">CONCATENATE(A1123,"M",C1123)</f>
        <v>I0031M2009-Q2</v>
      </c>
      <c r="C1123" t="s">
        <v>42</v>
      </c>
      <c r="D1123" t="s">
        <v>45</v>
      </c>
      <c r="E1123">
        <v>60</v>
      </c>
    </row>
    <row r="1124" spans="1:6" x14ac:dyDescent="0.25">
      <c r="A1124" t="s">
        <v>619</v>
      </c>
      <c r="B1124" t="str">
        <f t="shared" si="15"/>
        <v>I0031M2009-Q3</v>
      </c>
      <c r="C1124" t="s">
        <v>43</v>
      </c>
      <c r="D1124" t="s">
        <v>46</v>
      </c>
      <c r="E1124">
        <v>51</v>
      </c>
    </row>
    <row r="1125" spans="1:6" x14ac:dyDescent="0.25">
      <c r="A1125" t="s">
        <v>619</v>
      </c>
      <c r="B1125" t="str">
        <f t="shared" si="15"/>
        <v>I0031M2009-Q4</v>
      </c>
      <c r="C1125" t="s">
        <v>40</v>
      </c>
      <c r="D1125" t="s">
        <v>47</v>
      </c>
      <c r="E1125">
        <v>45</v>
      </c>
    </row>
    <row r="1126" spans="1:6" x14ac:dyDescent="0.25">
      <c r="A1126" t="s">
        <v>619</v>
      </c>
      <c r="B1126" t="str">
        <f t="shared" si="15"/>
        <v>I0031M2010-Q1</v>
      </c>
      <c r="C1126" t="s">
        <v>19</v>
      </c>
      <c r="D1126" t="s">
        <v>24</v>
      </c>
      <c r="E1126">
        <v>40</v>
      </c>
    </row>
    <row r="1127" spans="1:6" x14ac:dyDescent="0.25">
      <c r="A1127" t="s">
        <v>619</v>
      </c>
      <c r="B1127" t="str">
        <f t="shared" si="15"/>
        <v>I0031M2010-Q2</v>
      </c>
      <c r="C1127" t="s">
        <v>20</v>
      </c>
      <c r="D1127" t="s">
        <v>23</v>
      </c>
      <c r="E1127">
        <v>38</v>
      </c>
    </row>
    <row r="1128" spans="1:6" x14ac:dyDescent="0.25">
      <c r="A1128" t="s">
        <v>619</v>
      </c>
      <c r="B1128" t="str">
        <f t="shared" si="15"/>
        <v>I0031M2010-Q3</v>
      </c>
      <c r="C1128" t="s">
        <v>21</v>
      </c>
      <c r="D1128" t="s">
        <v>22</v>
      </c>
      <c r="E1128">
        <v>40</v>
      </c>
    </row>
    <row r="1129" spans="1:6" x14ac:dyDescent="0.25">
      <c r="A1129" t="s">
        <v>619</v>
      </c>
      <c r="B1129" t="str">
        <f t="shared" si="15"/>
        <v>I0031M2010-Q4</v>
      </c>
      <c r="C1129" t="s">
        <v>11</v>
      </c>
      <c r="D1129" t="s">
        <v>2</v>
      </c>
      <c r="E1129">
        <v>41</v>
      </c>
    </row>
    <row r="1130" spans="1:6" x14ac:dyDescent="0.25">
      <c r="A1130" t="s">
        <v>619</v>
      </c>
      <c r="B1130" t="str">
        <f t="shared" si="15"/>
        <v>I0031M2011-Q1</v>
      </c>
      <c r="C1130" t="s">
        <v>12</v>
      </c>
      <c r="D1130" t="s">
        <v>16</v>
      </c>
      <c r="E1130">
        <v>42</v>
      </c>
    </row>
    <row r="1131" spans="1:6" x14ac:dyDescent="0.25">
      <c r="A1131" t="s">
        <v>619</v>
      </c>
      <c r="B1131" t="str">
        <f t="shared" si="15"/>
        <v>I0031M2011-Q2</v>
      </c>
      <c r="C1131" t="s">
        <v>13</v>
      </c>
      <c r="D1131" t="s">
        <v>18</v>
      </c>
      <c r="E1131">
        <v>40</v>
      </c>
    </row>
    <row r="1132" spans="1:6" x14ac:dyDescent="0.25">
      <c r="A1132" t="s">
        <v>619</v>
      </c>
      <c r="B1132" t="str">
        <f t="shared" si="15"/>
        <v>I0031M2011-Q3</v>
      </c>
      <c r="C1132" t="s">
        <v>14</v>
      </c>
      <c r="D1132" t="s">
        <v>17</v>
      </c>
      <c r="E1132">
        <v>38</v>
      </c>
    </row>
    <row r="1133" spans="1:6" x14ac:dyDescent="0.25">
      <c r="A1133" t="s">
        <v>619</v>
      </c>
      <c r="B1133" t="str">
        <f t="shared" si="15"/>
        <v>I0031M2011-Q4</v>
      </c>
      <c r="C1133" t="s">
        <v>15</v>
      </c>
      <c r="D1133" t="s">
        <v>3</v>
      </c>
      <c r="E1133">
        <v>36</v>
      </c>
    </row>
    <row r="1134" spans="1:6" x14ac:dyDescent="0.25">
      <c r="A1134" t="s">
        <v>619</v>
      </c>
      <c r="B1134" t="str">
        <f t="shared" si="15"/>
        <v>I0031M2012-Q1</v>
      </c>
      <c r="C1134" t="s">
        <v>418</v>
      </c>
      <c r="D1134" t="s">
        <v>415</v>
      </c>
      <c r="E1134">
        <v>35</v>
      </c>
    </row>
    <row r="1135" spans="1:6" x14ac:dyDescent="0.25">
      <c r="A1135" t="s">
        <v>619</v>
      </c>
      <c r="B1135" t="str">
        <f t="shared" si="15"/>
        <v>I0031M2012-Q2</v>
      </c>
      <c r="C1135" t="s">
        <v>419</v>
      </c>
      <c r="D1135" t="s">
        <v>416</v>
      </c>
      <c r="E1135">
        <v>34</v>
      </c>
    </row>
    <row r="1136" spans="1:6" x14ac:dyDescent="0.25">
      <c r="A1136" t="s">
        <v>619</v>
      </c>
      <c r="B1136" t="str">
        <f t="shared" si="15"/>
        <v>I0031M2012-Q3</v>
      </c>
      <c r="C1136" t="s">
        <v>420</v>
      </c>
      <c r="D1136" t="s">
        <v>417</v>
      </c>
      <c r="E1136">
        <v>32</v>
      </c>
    </row>
    <row r="1137" spans="1:5" x14ac:dyDescent="0.25">
      <c r="A1137" t="s">
        <v>619</v>
      </c>
      <c r="B1137" t="str">
        <f t="shared" si="15"/>
        <v>I0031M2012-Q4</v>
      </c>
      <c r="C1137" t="s">
        <v>451</v>
      </c>
      <c r="D1137" t="s">
        <v>450</v>
      </c>
      <c r="E1137">
        <v>31</v>
      </c>
    </row>
    <row r="1138" spans="1:5" x14ac:dyDescent="0.25">
      <c r="A1138" t="s">
        <v>619</v>
      </c>
      <c r="B1138" t="str">
        <f t="shared" si="15"/>
        <v>I0031M2013-Q1</v>
      </c>
      <c r="C1138" t="s">
        <v>452</v>
      </c>
      <c r="D1138" t="s">
        <v>439</v>
      </c>
      <c r="E1138">
        <v>30</v>
      </c>
    </row>
    <row r="1139" spans="1:5" x14ac:dyDescent="0.25">
      <c r="A1139" t="s">
        <v>619</v>
      </c>
      <c r="B1139" t="str">
        <f t="shared" si="15"/>
        <v>I0031M2013-Q2</v>
      </c>
      <c r="C1139" t="s">
        <v>453</v>
      </c>
      <c r="D1139" t="s">
        <v>442</v>
      </c>
      <c r="E1139">
        <v>28</v>
      </c>
    </row>
    <row r="1140" spans="1:5" x14ac:dyDescent="0.25">
      <c r="A1140" t="s">
        <v>619</v>
      </c>
      <c r="B1140" t="str">
        <f t="shared" si="15"/>
        <v>I0031M2013-Q3</v>
      </c>
      <c r="C1140" t="s">
        <v>454</v>
      </c>
      <c r="D1140" t="s">
        <v>445</v>
      </c>
      <c r="E1140">
        <v>25</v>
      </c>
    </row>
    <row r="1141" spans="1:5" x14ac:dyDescent="0.25">
      <c r="A1141" t="s">
        <v>619</v>
      </c>
      <c r="B1141" t="str">
        <f t="shared" si="15"/>
        <v>I0031M2013-Q4</v>
      </c>
      <c r="C1141" t="s">
        <v>455</v>
      </c>
      <c r="D1141" t="s">
        <v>436</v>
      </c>
      <c r="E1141">
        <v>24</v>
      </c>
    </row>
    <row r="1142" spans="1:5" x14ac:dyDescent="0.25">
      <c r="A1142" t="s">
        <v>619</v>
      </c>
      <c r="B1142" t="str">
        <f t="shared" si="15"/>
        <v>I0031M2014-Q1</v>
      </c>
      <c r="C1142" t="s">
        <v>456</v>
      </c>
      <c r="D1142" t="s">
        <v>430</v>
      </c>
      <c r="E1142">
        <v>21</v>
      </c>
    </row>
    <row r="1143" spans="1:5" x14ac:dyDescent="0.25">
      <c r="A1143" t="s">
        <v>619</v>
      </c>
      <c r="B1143" t="str">
        <f t="shared" si="15"/>
        <v>I0031M2014-Q2</v>
      </c>
      <c r="C1143" t="s">
        <v>457</v>
      </c>
      <c r="D1143" t="s">
        <v>433</v>
      </c>
      <c r="E1143">
        <v>20</v>
      </c>
    </row>
    <row r="1144" spans="1:5" x14ac:dyDescent="0.25">
      <c r="A1144" t="s">
        <v>619</v>
      </c>
      <c r="B1144" t="str">
        <f t="shared" si="15"/>
        <v>I0031M2014-Q3</v>
      </c>
      <c r="C1144" t="s">
        <v>458</v>
      </c>
      <c r="D1144" t="s">
        <v>427</v>
      </c>
      <c r="E1144">
        <v>22</v>
      </c>
    </row>
    <row r="1145" spans="1:5" x14ac:dyDescent="0.25">
      <c r="A1145" t="s">
        <v>619</v>
      </c>
      <c r="B1145" t="str">
        <f t="shared" si="15"/>
        <v>I0031M2014-Q4</v>
      </c>
      <c r="C1145" t="s">
        <v>486</v>
      </c>
      <c r="D1145" t="s">
        <v>557</v>
      </c>
      <c r="E1145">
        <v>21</v>
      </c>
    </row>
    <row r="1146" spans="1:5" x14ac:dyDescent="0.25">
      <c r="A1146" t="s">
        <v>619</v>
      </c>
      <c r="B1146" t="str">
        <f t="shared" si="15"/>
        <v>I0031M2015-Q1</v>
      </c>
      <c r="C1146" t="s">
        <v>558</v>
      </c>
      <c r="D1146" t="s">
        <v>559</v>
      </c>
      <c r="E1146">
        <v>19</v>
      </c>
    </row>
    <row r="1147" spans="1:5" x14ac:dyDescent="0.25">
      <c r="A1147" t="s">
        <v>619</v>
      </c>
      <c r="B1147" t="str">
        <f t="shared" si="15"/>
        <v>I0031M2015-Q2</v>
      </c>
      <c r="C1147" t="s">
        <v>560</v>
      </c>
      <c r="D1147" t="s">
        <v>561</v>
      </c>
      <c r="E1147">
        <v>18</v>
      </c>
    </row>
    <row r="1148" spans="1:5" x14ac:dyDescent="0.25">
      <c r="A1148" t="s">
        <v>619</v>
      </c>
      <c r="B1148" t="str">
        <f t="shared" si="15"/>
        <v>I0031M2015-Q3</v>
      </c>
      <c r="C1148" t="s">
        <v>562</v>
      </c>
      <c r="D1148" t="s">
        <v>586</v>
      </c>
      <c r="E1148">
        <v>16</v>
      </c>
    </row>
    <row r="1149" spans="1:5" x14ac:dyDescent="0.25">
      <c r="A1149" t="s">
        <v>619</v>
      </c>
      <c r="B1149" t="str">
        <f t="shared" si="15"/>
        <v>I0031M2015-Q4</v>
      </c>
      <c r="C1149" t="s">
        <v>564</v>
      </c>
      <c r="D1149" t="s">
        <v>565</v>
      </c>
      <c r="E1149">
        <v>15</v>
      </c>
    </row>
    <row r="1150" spans="1:5" x14ac:dyDescent="0.25">
      <c r="A1150" t="s">
        <v>619</v>
      </c>
      <c r="B1150" t="str">
        <f t="shared" si="15"/>
        <v>I0031M2016-Q1</v>
      </c>
      <c r="C1150" t="s">
        <v>629</v>
      </c>
      <c r="D1150" t="s">
        <v>628</v>
      </c>
      <c r="E1150">
        <v>15</v>
      </c>
    </row>
    <row r="1151" spans="1:5" x14ac:dyDescent="0.25">
      <c r="A1151" t="s">
        <v>619</v>
      </c>
      <c r="B1151" t="str">
        <f t="shared" si="15"/>
        <v>I0031M2016-Q2</v>
      </c>
      <c r="C1151" t="s">
        <v>630</v>
      </c>
      <c r="D1151" t="s">
        <v>631</v>
      </c>
      <c r="E1151">
        <v>13</v>
      </c>
    </row>
    <row r="1152" spans="1:5" x14ac:dyDescent="0.25">
      <c r="A1152" t="s">
        <v>619</v>
      </c>
      <c r="B1152" t="str">
        <f t="shared" si="15"/>
        <v>I0031M2016-Q3</v>
      </c>
      <c r="C1152" t="s">
        <v>632</v>
      </c>
      <c r="D1152" t="s">
        <v>633</v>
      </c>
      <c r="E1152">
        <v>15</v>
      </c>
    </row>
    <row r="1153" spans="1:5" x14ac:dyDescent="0.25">
      <c r="A1153" t="s">
        <v>619</v>
      </c>
      <c r="B1153" t="str">
        <f t="shared" si="15"/>
        <v>I0031M2016-Q4</v>
      </c>
      <c r="C1153" t="s">
        <v>634</v>
      </c>
      <c r="D1153" t="s">
        <v>635</v>
      </c>
      <c r="E1153">
        <v>14</v>
      </c>
    </row>
    <row r="1154" spans="1:5" x14ac:dyDescent="0.25">
      <c r="A1154" t="s">
        <v>619</v>
      </c>
      <c r="B1154" t="str">
        <f t="shared" si="15"/>
        <v>I0031M2017-Q1</v>
      </c>
      <c r="C1154" t="s">
        <v>636</v>
      </c>
      <c r="D1154" t="s">
        <v>637</v>
      </c>
      <c r="E1154">
        <v>14</v>
      </c>
    </row>
  </sheetData>
  <autoFilter ref="A1:F740"/>
  <sortState ref="A2:XFD340">
    <sortCondition ref="A2:A340"/>
    <sortCondition ref="B2:B340"/>
  </sortState>
  <mergeCells count="1">
    <mergeCell ref="O1:Q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77"/>
  <sheetViews>
    <sheetView workbookViewId="0">
      <selection sqref="A1:F1048576"/>
    </sheetView>
  </sheetViews>
  <sheetFormatPr defaultRowHeight="15" x14ac:dyDescent="0.25"/>
  <cols>
    <col min="2" max="2" width="13.85546875" bestFit="1" customWidth="1"/>
    <col min="3" max="3" width="14.5703125" bestFit="1" customWidth="1"/>
    <col min="4" max="4" width="18.85546875" bestFit="1" customWidth="1"/>
    <col min="5" max="5" width="14.42578125" bestFit="1" customWidth="1"/>
  </cols>
  <sheetData>
    <row r="1" spans="1:6" x14ac:dyDescent="0.25">
      <c r="A1" t="s">
        <v>0</v>
      </c>
      <c r="B1" t="s">
        <v>26</v>
      </c>
      <c r="C1" t="s">
        <v>27</v>
      </c>
      <c r="D1" t="s">
        <v>28</v>
      </c>
      <c r="E1" t="s">
        <v>29</v>
      </c>
    </row>
    <row r="2" spans="1:6" x14ac:dyDescent="0.25">
      <c r="A2" t="s">
        <v>33</v>
      </c>
      <c r="B2" t="s">
        <v>4</v>
      </c>
      <c r="C2" t="s">
        <v>41</v>
      </c>
      <c r="D2" t="s">
        <v>44</v>
      </c>
      <c r="E2">
        <v>32</v>
      </c>
      <c r="F2" t="s">
        <v>182</v>
      </c>
    </row>
    <row r="3" spans="1:6" x14ac:dyDescent="0.25">
      <c r="A3" t="s">
        <v>33</v>
      </c>
      <c r="B3" t="s">
        <v>5</v>
      </c>
      <c r="C3" t="s">
        <v>42</v>
      </c>
      <c r="D3" t="s">
        <v>45</v>
      </c>
      <c r="E3">
        <v>34</v>
      </c>
    </row>
    <row r="4" spans="1:6" x14ac:dyDescent="0.25">
      <c r="A4" t="s">
        <v>33</v>
      </c>
      <c r="B4" t="s">
        <v>6</v>
      </c>
      <c r="C4" t="s">
        <v>43</v>
      </c>
      <c r="D4" t="s">
        <v>46</v>
      </c>
      <c r="E4">
        <v>36</v>
      </c>
    </row>
    <row r="5" spans="1:6" x14ac:dyDescent="0.25">
      <c r="A5" t="s">
        <v>33</v>
      </c>
      <c r="B5" t="s">
        <v>7</v>
      </c>
      <c r="C5" t="s">
        <v>40</v>
      </c>
      <c r="D5" t="s">
        <v>47</v>
      </c>
      <c r="E5">
        <v>36</v>
      </c>
    </row>
    <row r="6" spans="1:6" x14ac:dyDescent="0.25">
      <c r="A6" t="s">
        <v>33</v>
      </c>
      <c r="B6" t="s">
        <v>8</v>
      </c>
      <c r="C6" t="s">
        <v>19</v>
      </c>
      <c r="D6" t="s">
        <v>24</v>
      </c>
      <c r="E6">
        <v>36</v>
      </c>
    </row>
    <row r="7" spans="1:6" x14ac:dyDescent="0.25">
      <c r="A7" t="s">
        <v>33</v>
      </c>
      <c r="B7" t="s">
        <v>9</v>
      </c>
      <c r="C7" t="s">
        <v>20</v>
      </c>
      <c r="D7" t="s">
        <v>23</v>
      </c>
      <c r="E7">
        <v>36</v>
      </c>
    </row>
    <row r="8" spans="1:6" x14ac:dyDescent="0.25">
      <c r="A8" t="s">
        <v>33</v>
      </c>
      <c r="B8" t="s">
        <v>10</v>
      </c>
      <c r="C8" t="s">
        <v>21</v>
      </c>
      <c r="D8" t="s">
        <v>22</v>
      </c>
      <c r="E8">
        <v>37</v>
      </c>
    </row>
    <row r="9" spans="1:6" x14ac:dyDescent="0.25">
      <c r="A9" t="s">
        <v>33</v>
      </c>
      <c r="B9" t="s">
        <v>25</v>
      </c>
      <c r="C9" t="s">
        <v>11</v>
      </c>
      <c r="D9" t="s">
        <v>2</v>
      </c>
      <c r="E9">
        <v>38</v>
      </c>
    </row>
    <row r="10" spans="1:6" x14ac:dyDescent="0.25">
      <c r="A10" t="s">
        <v>33</v>
      </c>
      <c r="B10" t="s">
        <v>36</v>
      </c>
      <c r="C10" t="s">
        <v>12</v>
      </c>
      <c r="D10" t="s">
        <v>16</v>
      </c>
      <c r="E10">
        <v>41</v>
      </c>
    </row>
    <row r="11" spans="1:6" x14ac:dyDescent="0.25">
      <c r="A11" t="s">
        <v>33</v>
      </c>
      <c r="B11" t="s">
        <v>37</v>
      </c>
      <c r="C11" t="s">
        <v>13</v>
      </c>
      <c r="D11" t="s">
        <v>18</v>
      </c>
      <c r="E11">
        <v>42</v>
      </c>
    </row>
    <row r="12" spans="1:6" x14ac:dyDescent="0.25">
      <c r="A12" t="s">
        <v>33</v>
      </c>
      <c r="B12" t="s">
        <v>38</v>
      </c>
      <c r="C12" t="s">
        <v>14</v>
      </c>
      <c r="D12" t="s">
        <v>17</v>
      </c>
      <c r="E12">
        <v>44</v>
      </c>
    </row>
    <row r="13" spans="1:6" x14ac:dyDescent="0.25">
      <c r="A13" t="s">
        <v>33</v>
      </c>
      <c r="B13" t="s">
        <v>39</v>
      </c>
      <c r="C13" t="s">
        <v>15</v>
      </c>
      <c r="D13" t="s">
        <v>3</v>
      </c>
      <c r="E13">
        <v>46</v>
      </c>
    </row>
    <row r="14" spans="1:6" x14ac:dyDescent="0.25">
      <c r="A14" t="s">
        <v>34</v>
      </c>
      <c r="B14" t="s">
        <v>49</v>
      </c>
      <c r="C14" t="s">
        <v>41</v>
      </c>
      <c r="D14" t="s">
        <v>44</v>
      </c>
      <c r="E14">
        <v>58</v>
      </c>
      <c r="F14" t="s">
        <v>48</v>
      </c>
    </row>
    <row r="15" spans="1:6" x14ac:dyDescent="0.25">
      <c r="A15" t="s">
        <v>34</v>
      </c>
      <c r="B15" t="s">
        <v>50</v>
      </c>
      <c r="C15" t="s">
        <v>42</v>
      </c>
      <c r="D15" t="s">
        <v>45</v>
      </c>
      <c r="E15">
        <v>61</v>
      </c>
    </row>
    <row r="16" spans="1:6" x14ac:dyDescent="0.25">
      <c r="A16" t="s">
        <v>34</v>
      </c>
      <c r="B16" t="s">
        <v>51</v>
      </c>
      <c r="C16" t="s">
        <v>43</v>
      </c>
      <c r="D16" t="s">
        <v>46</v>
      </c>
      <c r="E16">
        <v>65</v>
      </c>
    </row>
    <row r="17" spans="1:6" x14ac:dyDescent="0.25">
      <c r="A17" t="s">
        <v>34</v>
      </c>
      <c r="B17" t="s">
        <v>52</v>
      </c>
      <c r="C17" t="s">
        <v>40</v>
      </c>
      <c r="D17" t="s">
        <v>47</v>
      </c>
      <c r="E17">
        <v>66</v>
      </c>
    </row>
    <row r="18" spans="1:6" x14ac:dyDescent="0.25">
      <c r="A18" t="s">
        <v>34</v>
      </c>
      <c r="B18" t="s">
        <v>53</v>
      </c>
      <c r="C18" t="s">
        <v>19</v>
      </c>
      <c r="D18" t="s">
        <v>24</v>
      </c>
      <c r="E18">
        <v>66</v>
      </c>
    </row>
    <row r="19" spans="1:6" x14ac:dyDescent="0.25">
      <c r="A19" t="s">
        <v>34</v>
      </c>
      <c r="B19" t="s">
        <v>54</v>
      </c>
      <c r="C19" t="s">
        <v>20</v>
      </c>
      <c r="D19" t="s">
        <v>23</v>
      </c>
      <c r="E19">
        <v>71</v>
      </c>
    </row>
    <row r="20" spans="1:6" x14ac:dyDescent="0.25">
      <c r="A20" t="s">
        <v>34</v>
      </c>
      <c r="B20" t="s">
        <v>55</v>
      </c>
      <c r="C20" t="s">
        <v>21</v>
      </c>
      <c r="D20" t="s">
        <v>22</v>
      </c>
      <c r="E20">
        <v>72</v>
      </c>
    </row>
    <row r="21" spans="1:6" x14ac:dyDescent="0.25">
      <c r="A21" t="s">
        <v>34</v>
      </c>
      <c r="B21" t="s">
        <v>56</v>
      </c>
      <c r="C21" t="s">
        <v>11</v>
      </c>
      <c r="D21" t="s">
        <v>2</v>
      </c>
      <c r="E21">
        <v>71</v>
      </c>
    </row>
    <row r="22" spans="1:6" x14ac:dyDescent="0.25">
      <c r="A22" t="s">
        <v>34</v>
      </c>
      <c r="B22" t="s">
        <v>117</v>
      </c>
      <c r="C22" t="s">
        <v>12</v>
      </c>
      <c r="D22" t="s">
        <v>16</v>
      </c>
      <c r="E22">
        <v>69</v>
      </c>
    </row>
    <row r="23" spans="1:6" x14ac:dyDescent="0.25">
      <c r="A23" t="s">
        <v>34</v>
      </c>
      <c r="B23" t="s">
        <v>118</v>
      </c>
      <c r="C23" t="s">
        <v>13</v>
      </c>
      <c r="D23" t="s">
        <v>18</v>
      </c>
      <c r="E23">
        <v>73</v>
      </c>
    </row>
    <row r="24" spans="1:6" x14ac:dyDescent="0.25">
      <c r="A24" t="s">
        <v>34</v>
      </c>
      <c r="B24" t="s">
        <v>119</v>
      </c>
      <c r="C24" t="s">
        <v>14</v>
      </c>
      <c r="D24" t="s">
        <v>17</v>
      </c>
      <c r="E24">
        <v>75</v>
      </c>
    </row>
    <row r="25" spans="1:6" x14ac:dyDescent="0.25">
      <c r="A25" t="s">
        <v>34</v>
      </c>
      <c r="B25" t="s">
        <v>120</v>
      </c>
      <c r="C25" t="s">
        <v>15</v>
      </c>
      <c r="D25" t="s">
        <v>3</v>
      </c>
      <c r="E25">
        <v>75</v>
      </c>
    </row>
    <row r="26" spans="1:6" x14ac:dyDescent="0.25">
      <c r="A26" t="s">
        <v>1</v>
      </c>
      <c r="B26" t="s">
        <v>121</v>
      </c>
      <c r="C26" t="s">
        <v>41</v>
      </c>
      <c r="D26" t="s">
        <v>44</v>
      </c>
      <c r="E26">
        <v>12</v>
      </c>
      <c r="F26" t="s">
        <v>183</v>
      </c>
    </row>
    <row r="27" spans="1:6" x14ac:dyDescent="0.25">
      <c r="A27" t="s">
        <v>1</v>
      </c>
      <c r="B27" t="s">
        <v>122</v>
      </c>
      <c r="C27" t="s">
        <v>42</v>
      </c>
      <c r="D27" t="s">
        <v>45</v>
      </c>
      <c r="E27">
        <v>16</v>
      </c>
    </row>
    <row r="28" spans="1:6" x14ac:dyDescent="0.25">
      <c r="A28" t="s">
        <v>1</v>
      </c>
      <c r="B28" t="s">
        <v>123</v>
      </c>
      <c r="C28" t="s">
        <v>43</v>
      </c>
      <c r="D28" t="s">
        <v>46</v>
      </c>
      <c r="E28">
        <v>18</v>
      </c>
    </row>
    <row r="29" spans="1:6" x14ac:dyDescent="0.25">
      <c r="A29" t="s">
        <v>1</v>
      </c>
      <c r="B29" t="s">
        <v>124</v>
      </c>
      <c r="C29" t="s">
        <v>40</v>
      </c>
      <c r="D29" t="s">
        <v>47</v>
      </c>
      <c r="E29">
        <v>18</v>
      </c>
    </row>
    <row r="30" spans="1:6" x14ac:dyDescent="0.25">
      <c r="A30" t="s">
        <v>1</v>
      </c>
      <c r="B30" t="s">
        <v>125</v>
      </c>
      <c r="C30" t="s">
        <v>19</v>
      </c>
      <c r="D30" t="s">
        <v>24</v>
      </c>
      <c r="E30">
        <v>18</v>
      </c>
    </row>
    <row r="31" spans="1:6" x14ac:dyDescent="0.25">
      <c r="A31" t="s">
        <v>1</v>
      </c>
      <c r="B31" t="s">
        <v>126</v>
      </c>
      <c r="C31" t="s">
        <v>20</v>
      </c>
      <c r="D31" t="s">
        <v>23</v>
      </c>
      <c r="E31">
        <v>19</v>
      </c>
    </row>
    <row r="32" spans="1:6" x14ac:dyDescent="0.25">
      <c r="A32" t="s">
        <v>1</v>
      </c>
      <c r="B32" t="s">
        <v>127</v>
      </c>
      <c r="C32" t="s">
        <v>21</v>
      </c>
      <c r="D32" t="s">
        <v>22</v>
      </c>
      <c r="E32">
        <v>19</v>
      </c>
    </row>
    <row r="33" spans="1:6" x14ac:dyDescent="0.25">
      <c r="A33" t="s">
        <v>1</v>
      </c>
      <c r="B33" t="s">
        <v>128</v>
      </c>
      <c r="C33" t="s">
        <v>11</v>
      </c>
      <c r="D33" t="s">
        <v>2</v>
      </c>
      <c r="E33">
        <v>22</v>
      </c>
    </row>
    <row r="34" spans="1:6" x14ac:dyDescent="0.25">
      <c r="A34" t="s">
        <v>1</v>
      </c>
      <c r="B34" t="s">
        <v>129</v>
      </c>
      <c r="C34" t="s">
        <v>12</v>
      </c>
      <c r="D34" t="s">
        <v>16</v>
      </c>
      <c r="E34">
        <v>22</v>
      </c>
    </row>
    <row r="35" spans="1:6" x14ac:dyDescent="0.25">
      <c r="A35" t="s">
        <v>1</v>
      </c>
      <c r="B35" t="s">
        <v>130</v>
      </c>
      <c r="C35" t="s">
        <v>13</v>
      </c>
      <c r="D35" t="s">
        <v>18</v>
      </c>
      <c r="E35">
        <v>23</v>
      </c>
    </row>
    <row r="36" spans="1:6" x14ac:dyDescent="0.25">
      <c r="A36" t="s">
        <v>1</v>
      </c>
      <c r="B36" t="s">
        <v>131</v>
      </c>
      <c r="C36" t="s">
        <v>14</v>
      </c>
      <c r="D36" t="s">
        <v>17</v>
      </c>
      <c r="E36">
        <v>24</v>
      </c>
    </row>
    <row r="37" spans="1:6" x14ac:dyDescent="0.25">
      <c r="A37" t="s">
        <v>1</v>
      </c>
      <c r="B37" t="s">
        <v>132</v>
      </c>
      <c r="C37" t="s">
        <v>15</v>
      </c>
      <c r="D37" t="s">
        <v>3</v>
      </c>
      <c r="E37">
        <v>24</v>
      </c>
    </row>
    <row r="38" spans="1:6" x14ac:dyDescent="0.25">
      <c r="A38" t="s">
        <v>32</v>
      </c>
      <c r="B38" t="s">
        <v>133</v>
      </c>
      <c r="C38" t="s">
        <v>57</v>
      </c>
      <c r="D38" t="s">
        <v>69</v>
      </c>
      <c r="E38">
        <v>15</v>
      </c>
      <c r="F38" t="s">
        <v>184</v>
      </c>
    </row>
    <row r="39" spans="1:6" x14ac:dyDescent="0.25">
      <c r="A39" t="s">
        <v>32</v>
      </c>
      <c r="B39" t="s">
        <v>134</v>
      </c>
      <c r="C39" t="s">
        <v>59</v>
      </c>
      <c r="D39" t="s">
        <v>76</v>
      </c>
      <c r="E39">
        <v>14.5</v>
      </c>
    </row>
    <row r="40" spans="1:6" x14ac:dyDescent="0.25">
      <c r="A40" t="s">
        <v>32</v>
      </c>
      <c r="B40" t="s">
        <v>135</v>
      </c>
      <c r="C40" t="s">
        <v>58</v>
      </c>
      <c r="D40" t="s">
        <v>44</v>
      </c>
      <c r="E40">
        <v>14</v>
      </c>
    </row>
    <row r="41" spans="1:6" x14ac:dyDescent="0.25">
      <c r="A41" t="s">
        <v>32</v>
      </c>
      <c r="B41" t="s">
        <v>136</v>
      </c>
      <c r="C41" t="s">
        <v>60</v>
      </c>
      <c r="D41" t="s">
        <v>75</v>
      </c>
      <c r="E41">
        <v>14.3</v>
      </c>
    </row>
    <row r="42" spans="1:6" x14ac:dyDescent="0.25">
      <c r="A42" t="s">
        <v>32</v>
      </c>
      <c r="B42" t="s">
        <v>137</v>
      </c>
      <c r="C42" t="s">
        <v>61</v>
      </c>
      <c r="D42" t="s">
        <v>70</v>
      </c>
      <c r="E42">
        <v>13</v>
      </c>
    </row>
    <row r="43" spans="1:6" x14ac:dyDescent="0.25">
      <c r="A43" t="s">
        <v>32</v>
      </c>
      <c r="B43" t="s">
        <v>138</v>
      </c>
      <c r="C43" t="s">
        <v>62</v>
      </c>
      <c r="D43" t="s">
        <v>45</v>
      </c>
      <c r="E43">
        <v>12.2</v>
      </c>
    </row>
    <row r="44" spans="1:6" x14ac:dyDescent="0.25">
      <c r="A44" t="s">
        <v>32</v>
      </c>
      <c r="B44" t="s">
        <v>139</v>
      </c>
      <c r="C44" t="s">
        <v>63</v>
      </c>
      <c r="D44" t="s">
        <v>71</v>
      </c>
      <c r="E44">
        <v>12</v>
      </c>
    </row>
    <row r="45" spans="1:6" x14ac:dyDescent="0.25">
      <c r="A45" t="s">
        <v>32</v>
      </c>
      <c r="B45" t="s">
        <v>140</v>
      </c>
      <c r="C45" t="s">
        <v>64</v>
      </c>
      <c r="D45" t="s">
        <v>72</v>
      </c>
      <c r="E45">
        <v>12</v>
      </c>
    </row>
    <row r="46" spans="1:6" x14ac:dyDescent="0.25">
      <c r="A46" t="s">
        <v>32</v>
      </c>
      <c r="B46" t="s">
        <v>141</v>
      </c>
      <c r="C46" t="s">
        <v>65</v>
      </c>
      <c r="D46" t="s">
        <v>46</v>
      </c>
      <c r="E46">
        <v>11.5</v>
      </c>
    </row>
    <row r="47" spans="1:6" x14ac:dyDescent="0.25">
      <c r="A47" t="s">
        <v>32</v>
      </c>
      <c r="B47" t="s">
        <v>142</v>
      </c>
      <c r="C47" t="s">
        <v>66</v>
      </c>
      <c r="D47" t="s">
        <v>73</v>
      </c>
      <c r="E47">
        <v>11.1</v>
      </c>
    </row>
    <row r="48" spans="1:6" x14ac:dyDescent="0.25">
      <c r="A48" t="s">
        <v>32</v>
      </c>
      <c r="B48" t="s">
        <v>143</v>
      </c>
      <c r="C48" t="s">
        <v>67</v>
      </c>
      <c r="D48" t="s">
        <v>74</v>
      </c>
      <c r="E48">
        <v>10.5</v>
      </c>
    </row>
    <row r="49" spans="1:5" x14ac:dyDescent="0.25">
      <c r="A49" t="s">
        <v>32</v>
      </c>
      <c r="B49" t="s">
        <v>144</v>
      </c>
      <c r="C49" t="s">
        <v>68</v>
      </c>
      <c r="D49" t="s">
        <v>47</v>
      </c>
      <c r="E49">
        <v>10</v>
      </c>
    </row>
    <row r="50" spans="1:5" x14ac:dyDescent="0.25">
      <c r="A50" t="s">
        <v>32</v>
      </c>
      <c r="B50" t="s">
        <v>146</v>
      </c>
      <c r="C50" t="s">
        <v>77</v>
      </c>
      <c r="D50" t="s">
        <v>78</v>
      </c>
      <c r="E50">
        <v>9</v>
      </c>
    </row>
    <row r="51" spans="1:5" x14ac:dyDescent="0.25">
      <c r="A51" t="s">
        <v>32</v>
      </c>
      <c r="B51" t="s">
        <v>147</v>
      </c>
      <c r="C51" t="s">
        <v>79</v>
      </c>
      <c r="D51" t="s">
        <v>80</v>
      </c>
      <c r="E51">
        <v>7.6</v>
      </c>
    </row>
    <row r="52" spans="1:5" x14ac:dyDescent="0.25">
      <c r="A52" t="s">
        <v>32</v>
      </c>
      <c r="B52" t="s">
        <v>148</v>
      </c>
      <c r="C52" t="s">
        <v>81</v>
      </c>
      <c r="D52" t="s">
        <v>24</v>
      </c>
      <c r="E52">
        <v>7</v>
      </c>
    </row>
    <row r="53" spans="1:5" x14ac:dyDescent="0.25">
      <c r="A53" t="s">
        <v>32</v>
      </c>
      <c r="B53" t="s">
        <v>149</v>
      </c>
      <c r="C53" t="s">
        <v>82</v>
      </c>
      <c r="D53" t="s">
        <v>83</v>
      </c>
      <c r="E53">
        <v>6</v>
      </c>
    </row>
    <row r="54" spans="1:5" x14ac:dyDescent="0.25">
      <c r="A54" t="s">
        <v>32</v>
      </c>
      <c r="B54" t="s">
        <v>150</v>
      </c>
      <c r="C54" t="s">
        <v>84</v>
      </c>
      <c r="D54" t="s">
        <v>85</v>
      </c>
      <c r="E54">
        <v>5.5</v>
      </c>
    </row>
    <row r="55" spans="1:5" x14ac:dyDescent="0.25">
      <c r="A55" t="s">
        <v>32</v>
      </c>
      <c r="B55" t="s">
        <v>151</v>
      </c>
      <c r="C55" t="s">
        <v>86</v>
      </c>
      <c r="D55" t="s">
        <v>23</v>
      </c>
      <c r="E55">
        <v>5.5</v>
      </c>
    </row>
    <row r="56" spans="1:5" x14ac:dyDescent="0.25">
      <c r="A56" t="s">
        <v>32</v>
      </c>
      <c r="B56" t="s">
        <v>152</v>
      </c>
      <c r="C56" t="s">
        <v>87</v>
      </c>
      <c r="D56" t="s">
        <v>88</v>
      </c>
      <c r="E56">
        <v>5.3</v>
      </c>
    </row>
    <row r="57" spans="1:5" x14ac:dyDescent="0.25">
      <c r="A57" t="s">
        <v>32</v>
      </c>
      <c r="B57" t="s">
        <v>153</v>
      </c>
      <c r="C57" t="s">
        <v>89</v>
      </c>
      <c r="D57" t="s">
        <v>90</v>
      </c>
      <c r="E57">
        <v>5</v>
      </c>
    </row>
    <row r="58" spans="1:5" x14ac:dyDescent="0.25">
      <c r="A58" t="s">
        <v>32</v>
      </c>
      <c r="B58" t="s">
        <v>156</v>
      </c>
      <c r="C58" t="s">
        <v>91</v>
      </c>
      <c r="D58" t="s">
        <v>22</v>
      </c>
      <c r="E58">
        <v>4</v>
      </c>
    </row>
    <row r="59" spans="1:5" x14ac:dyDescent="0.25">
      <c r="A59" t="s">
        <v>32</v>
      </c>
      <c r="B59" t="s">
        <v>157</v>
      </c>
      <c r="C59" t="s">
        <v>92</v>
      </c>
      <c r="D59" t="s">
        <v>93</v>
      </c>
      <c r="E59">
        <v>4.4000000000000004</v>
      </c>
    </row>
    <row r="60" spans="1:5" x14ac:dyDescent="0.25">
      <c r="A60" t="s">
        <v>32</v>
      </c>
      <c r="B60" t="s">
        <v>158</v>
      </c>
      <c r="C60" t="s">
        <v>94</v>
      </c>
      <c r="D60" t="s">
        <v>95</v>
      </c>
      <c r="E60">
        <v>4.9000000000000004</v>
      </c>
    </row>
    <row r="61" spans="1:5" x14ac:dyDescent="0.25">
      <c r="A61" t="s">
        <v>32</v>
      </c>
      <c r="B61" t="s">
        <v>159</v>
      </c>
      <c r="C61" t="s">
        <v>96</v>
      </c>
      <c r="D61" t="s">
        <v>2</v>
      </c>
      <c r="E61">
        <v>3.5</v>
      </c>
    </row>
    <row r="62" spans="1:5" x14ac:dyDescent="0.25">
      <c r="A62" t="s">
        <v>32</v>
      </c>
      <c r="B62" t="s">
        <v>160</v>
      </c>
      <c r="C62" t="s">
        <v>97</v>
      </c>
      <c r="D62" t="s">
        <v>98</v>
      </c>
      <c r="E62">
        <v>3</v>
      </c>
    </row>
    <row r="63" spans="1:5" x14ac:dyDescent="0.25">
      <c r="A63" t="s">
        <v>32</v>
      </c>
      <c r="B63" t="s">
        <v>161</v>
      </c>
      <c r="C63" t="s">
        <v>99</v>
      </c>
      <c r="D63" t="s">
        <v>100</v>
      </c>
      <c r="E63">
        <v>2.5</v>
      </c>
    </row>
    <row r="64" spans="1:5" x14ac:dyDescent="0.25">
      <c r="A64" t="s">
        <v>32</v>
      </c>
      <c r="B64" t="s">
        <v>162</v>
      </c>
      <c r="C64" t="s">
        <v>101</v>
      </c>
      <c r="D64" t="s">
        <v>16</v>
      </c>
      <c r="E64">
        <v>2</v>
      </c>
    </row>
    <row r="65" spans="1:6" x14ac:dyDescent="0.25">
      <c r="A65" t="s">
        <v>32</v>
      </c>
      <c r="B65" t="s">
        <v>163</v>
      </c>
      <c r="C65" t="s">
        <v>102</v>
      </c>
      <c r="D65" t="s">
        <v>103</v>
      </c>
      <c r="E65">
        <v>1.7</v>
      </c>
    </row>
    <row r="66" spans="1:6" x14ac:dyDescent="0.25">
      <c r="A66" t="s">
        <v>32</v>
      </c>
      <c r="B66" t="s">
        <v>164</v>
      </c>
      <c r="C66" t="s">
        <v>104</v>
      </c>
      <c r="D66" t="s">
        <v>105</v>
      </c>
      <c r="E66">
        <v>1.5</v>
      </c>
    </row>
    <row r="67" spans="1:6" x14ac:dyDescent="0.25">
      <c r="A67" t="s">
        <v>32</v>
      </c>
      <c r="B67" t="s">
        <v>165</v>
      </c>
      <c r="C67" t="s">
        <v>106</v>
      </c>
      <c r="D67" t="s">
        <v>18</v>
      </c>
      <c r="E67">
        <v>1.2</v>
      </c>
    </row>
    <row r="68" spans="1:6" x14ac:dyDescent="0.25">
      <c r="A68" t="s">
        <v>32</v>
      </c>
      <c r="B68" t="s">
        <v>167</v>
      </c>
      <c r="C68" t="s">
        <v>107</v>
      </c>
      <c r="D68" t="s">
        <v>108</v>
      </c>
      <c r="E68">
        <v>1.1000000000000001</v>
      </c>
    </row>
    <row r="69" spans="1:6" x14ac:dyDescent="0.25">
      <c r="A69" t="s">
        <v>32</v>
      </c>
      <c r="B69" t="s">
        <v>168</v>
      </c>
      <c r="C69" t="s">
        <v>109</v>
      </c>
      <c r="D69" t="s">
        <v>110</v>
      </c>
      <c r="E69">
        <v>0.95</v>
      </c>
    </row>
    <row r="70" spans="1:6" x14ac:dyDescent="0.25">
      <c r="A70" t="s">
        <v>32</v>
      </c>
      <c r="B70" t="s">
        <v>169</v>
      </c>
      <c r="C70" t="s">
        <v>111</v>
      </c>
      <c r="D70" t="s">
        <v>17</v>
      </c>
      <c r="E70">
        <v>0.9</v>
      </c>
    </row>
    <row r="71" spans="1:6" x14ac:dyDescent="0.25">
      <c r="A71" t="s">
        <v>32</v>
      </c>
      <c r="B71" t="s">
        <v>170</v>
      </c>
      <c r="C71" t="s">
        <v>112</v>
      </c>
      <c r="D71" t="s">
        <v>113</v>
      </c>
      <c r="E71">
        <v>0.85</v>
      </c>
    </row>
    <row r="72" spans="1:6" x14ac:dyDescent="0.25">
      <c r="A72" t="s">
        <v>32</v>
      </c>
      <c r="B72" t="s">
        <v>171</v>
      </c>
      <c r="C72" t="s">
        <v>114</v>
      </c>
      <c r="D72" t="s">
        <v>115</v>
      </c>
      <c r="E72">
        <v>0.8</v>
      </c>
    </row>
    <row r="73" spans="1:6" x14ac:dyDescent="0.25">
      <c r="A73" t="s">
        <v>32</v>
      </c>
      <c r="B73" t="s">
        <v>172</v>
      </c>
      <c r="C73" t="s">
        <v>116</v>
      </c>
      <c r="D73" t="s">
        <v>3</v>
      </c>
      <c r="E73">
        <v>0.82</v>
      </c>
    </row>
    <row r="74" spans="1:6" x14ac:dyDescent="0.25">
      <c r="A74" t="s">
        <v>35</v>
      </c>
      <c r="B74" t="s">
        <v>173</v>
      </c>
      <c r="C74" t="s">
        <v>41</v>
      </c>
      <c r="D74" t="s">
        <v>44</v>
      </c>
      <c r="E74">
        <v>5000000</v>
      </c>
      <c r="F74" t="s">
        <v>185</v>
      </c>
    </row>
    <row r="75" spans="1:6" x14ac:dyDescent="0.25">
      <c r="A75" t="s">
        <v>35</v>
      </c>
      <c r="B75" t="s">
        <v>174</v>
      </c>
      <c r="C75" t="s">
        <v>42</v>
      </c>
      <c r="D75" t="s">
        <v>45</v>
      </c>
      <c r="E75">
        <v>11000000</v>
      </c>
    </row>
    <row r="76" spans="1:6" x14ac:dyDescent="0.25">
      <c r="A76" t="s">
        <v>35</v>
      </c>
      <c r="B76" t="s">
        <v>175</v>
      </c>
      <c r="C76" t="s">
        <v>43</v>
      </c>
      <c r="D76" t="s">
        <v>46</v>
      </c>
      <c r="E76">
        <v>16000000</v>
      </c>
    </row>
    <row r="77" spans="1:6" x14ac:dyDescent="0.25">
      <c r="A77" t="s">
        <v>35</v>
      </c>
      <c r="B77" t="s">
        <v>176</v>
      </c>
      <c r="C77" t="s">
        <v>40</v>
      </c>
      <c r="D77" t="s">
        <v>47</v>
      </c>
      <c r="E77">
        <v>21000000</v>
      </c>
    </row>
    <row r="78" spans="1:6" x14ac:dyDescent="0.25">
      <c r="A78" t="s">
        <v>35</v>
      </c>
      <c r="B78" t="s">
        <v>177</v>
      </c>
      <c r="C78" t="s">
        <v>19</v>
      </c>
      <c r="D78" t="s">
        <v>24</v>
      </c>
      <c r="E78">
        <v>6000000</v>
      </c>
    </row>
    <row r="79" spans="1:6" x14ac:dyDescent="0.25">
      <c r="A79" t="s">
        <v>35</v>
      </c>
      <c r="B79" t="s">
        <v>178</v>
      </c>
      <c r="C79" t="s">
        <v>20</v>
      </c>
      <c r="D79" t="s">
        <v>23</v>
      </c>
      <c r="E79">
        <v>12000000</v>
      </c>
    </row>
    <row r="80" spans="1:6" x14ac:dyDescent="0.25">
      <c r="A80" t="s">
        <v>35</v>
      </c>
      <c r="B80" t="s">
        <v>179</v>
      </c>
      <c r="C80" t="s">
        <v>21</v>
      </c>
      <c r="D80" t="s">
        <v>22</v>
      </c>
      <c r="E80">
        <v>22000000</v>
      </c>
    </row>
    <row r="81" spans="1:6" x14ac:dyDescent="0.25">
      <c r="A81" t="s">
        <v>35</v>
      </c>
      <c r="B81" t="s">
        <v>180</v>
      </c>
      <c r="C81" t="s">
        <v>11</v>
      </c>
      <c r="D81" t="s">
        <v>2</v>
      </c>
      <c r="E81">
        <v>26000000</v>
      </c>
    </row>
    <row r="82" spans="1:6" x14ac:dyDescent="0.25">
      <c r="A82" t="s">
        <v>35</v>
      </c>
      <c r="B82" t="s">
        <v>181</v>
      </c>
      <c r="C82" t="s">
        <v>12</v>
      </c>
      <c r="D82" t="s">
        <v>16</v>
      </c>
      <c r="E82">
        <v>7500000</v>
      </c>
    </row>
    <row r="83" spans="1:6" x14ac:dyDescent="0.25">
      <c r="A83" t="s">
        <v>35</v>
      </c>
      <c r="B83" t="s">
        <v>220</v>
      </c>
      <c r="C83" t="s">
        <v>13</v>
      </c>
      <c r="D83" t="s">
        <v>18</v>
      </c>
      <c r="E83">
        <v>15540000</v>
      </c>
    </row>
    <row r="84" spans="1:6" x14ac:dyDescent="0.25">
      <c r="A84" t="s">
        <v>35</v>
      </c>
      <c r="B84" t="s">
        <v>221</v>
      </c>
      <c r="C84" t="s">
        <v>14</v>
      </c>
      <c r="D84" t="s">
        <v>17</v>
      </c>
      <c r="E84">
        <v>20850000</v>
      </c>
    </row>
    <row r="85" spans="1:6" x14ac:dyDescent="0.25">
      <c r="A85" t="s">
        <v>35</v>
      </c>
      <c r="B85" t="s">
        <v>222</v>
      </c>
      <c r="C85" t="s">
        <v>15</v>
      </c>
      <c r="D85" t="s">
        <v>3</v>
      </c>
      <c r="E85">
        <v>29500000</v>
      </c>
    </row>
    <row r="86" spans="1:6" x14ac:dyDescent="0.25">
      <c r="A86" t="s">
        <v>30</v>
      </c>
      <c r="B86" t="s">
        <v>223</v>
      </c>
      <c r="C86" t="s">
        <v>41</v>
      </c>
      <c r="D86" t="s">
        <v>44</v>
      </c>
      <c r="E86">
        <v>1250000</v>
      </c>
      <c r="F86" t="s">
        <v>186</v>
      </c>
    </row>
    <row r="87" spans="1:6" x14ac:dyDescent="0.25">
      <c r="A87" t="s">
        <v>30</v>
      </c>
      <c r="B87" t="s">
        <v>224</v>
      </c>
      <c r="C87" t="s">
        <v>42</v>
      </c>
      <c r="D87" t="s">
        <v>45</v>
      </c>
      <c r="E87">
        <v>2750000</v>
      </c>
    </row>
    <row r="88" spans="1:6" x14ac:dyDescent="0.25">
      <c r="A88" t="s">
        <v>30</v>
      </c>
      <c r="B88" t="s">
        <v>225</v>
      </c>
      <c r="C88" t="s">
        <v>43</v>
      </c>
      <c r="D88" t="s">
        <v>46</v>
      </c>
      <c r="E88">
        <v>4000000</v>
      </c>
    </row>
    <row r="89" spans="1:6" x14ac:dyDescent="0.25">
      <c r="A89" t="s">
        <v>30</v>
      </c>
      <c r="B89" t="s">
        <v>226</v>
      </c>
      <c r="C89" t="s">
        <v>40</v>
      </c>
      <c r="D89" t="s">
        <v>47</v>
      </c>
      <c r="E89">
        <v>5250000</v>
      </c>
    </row>
    <row r="90" spans="1:6" x14ac:dyDescent="0.25">
      <c r="A90" t="s">
        <v>30</v>
      </c>
      <c r="B90" t="s">
        <v>227</v>
      </c>
      <c r="C90" t="s">
        <v>19</v>
      </c>
      <c r="D90" t="s">
        <v>24</v>
      </c>
      <c r="E90">
        <v>2100000</v>
      </c>
    </row>
    <row r="91" spans="1:6" x14ac:dyDescent="0.25">
      <c r="A91" t="s">
        <v>30</v>
      </c>
      <c r="B91" t="s">
        <v>228</v>
      </c>
      <c r="C91" t="s">
        <v>20</v>
      </c>
      <c r="D91" t="s">
        <v>23</v>
      </c>
      <c r="E91">
        <v>4200000</v>
      </c>
    </row>
    <row r="92" spans="1:6" x14ac:dyDescent="0.25">
      <c r="A92" t="s">
        <v>30</v>
      </c>
      <c r="B92" t="s">
        <v>229</v>
      </c>
      <c r="C92" t="s">
        <v>21</v>
      </c>
      <c r="D92" t="s">
        <v>22</v>
      </c>
      <c r="E92">
        <v>7699999.9999999991</v>
      </c>
    </row>
    <row r="93" spans="1:6" x14ac:dyDescent="0.25">
      <c r="A93" t="s">
        <v>30</v>
      </c>
      <c r="B93" t="s">
        <v>230</v>
      </c>
      <c r="C93" t="s">
        <v>11</v>
      </c>
      <c r="D93" t="s">
        <v>2</v>
      </c>
      <c r="E93">
        <v>9100000</v>
      </c>
    </row>
    <row r="94" spans="1:6" x14ac:dyDescent="0.25">
      <c r="A94" t="s">
        <v>30</v>
      </c>
      <c r="B94" t="s">
        <v>231</v>
      </c>
      <c r="C94" t="s">
        <v>12</v>
      </c>
      <c r="D94" t="s">
        <v>16</v>
      </c>
      <c r="E94">
        <v>3750000</v>
      </c>
    </row>
    <row r="95" spans="1:6" x14ac:dyDescent="0.25">
      <c r="A95" t="s">
        <v>30</v>
      </c>
      <c r="B95" t="s">
        <v>232</v>
      </c>
      <c r="C95" t="s">
        <v>13</v>
      </c>
      <c r="D95" t="s">
        <v>18</v>
      </c>
      <c r="E95">
        <v>7770000</v>
      </c>
    </row>
    <row r="96" spans="1:6" x14ac:dyDescent="0.25">
      <c r="A96" t="s">
        <v>30</v>
      </c>
      <c r="B96" t="s">
        <v>233</v>
      </c>
      <c r="C96" t="s">
        <v>14</v>
      </c>
      <c r="D96" t="s">
        <v>17</v>
      </c>
      <c r="E96">
        <v>10425000</v>
      </c>
    </row>
    <row r="97" spans="1:6" x14ac:dyDescent="0.25">
      <c r="A97" t="s">
        <v>30</v>
      </c>
      <c r="B97" t="s">
        <v>234</v>
      </c>
      <c r="C97" t="s">
        <v>15</v>
      </c>
      <c r="D97" t="s">
        <v>3</v>
      </c>
      <c r="E97">
        <v>14750000</v>
      </c>
    </row>
    <row r="98" spans="1:6" x14ac:dyDescent="0.25">
      <c r="A98" t="s">
        <v>31</v>
      </c>
      <c r="B98" t="s">
        <v>235</v>
      </c>
      <c r="C98" t="s">
        <v>41</v>
      </c>
      <c r="D98" t="s">
        <v>44</v>
      </c>
      <c r="E98">
        <v>0.52</v>
      </c>
      <c r="F98" t="s">
        <v>187</v>
      </c>
    </row>
    <row r="99" spans="1:6" x14ac:dyDescent="0.25">
      <c r="A99" t="s">
        <v>31</v>
      </c>
      <c r="B99" t="s">
        <v>236</v>
      </c>
      <c r="C99" t="s">
        <v>42</v>
      </c>
      <c r="D99" t="s">
        <v>45</v>
      </c>
      <c r="E99">
        <v>0.51</v>
      </c>
    </row>
    <row r="100" spans="1:6" x14ac:dyDescent="0.25">
      <c r="A100" t="s">
        <v>31</v>
      </c>
      <c r="B100" t="s">
        <v>237</v>
      </c>
      <c r="C100" t="s">
        <v>43</v>
      </c>
      <c r="D100" t="s">
        <v>46</v>
      </c>
      <c r="E100">
        <v>0.5</v>
      </c>
    </row>
    <row r="101" spans="1:6" x14ac:dyDescent="0.25">
      <c r="A101" t="s">
        <v>31</v>
      </c>
      <c r="B101" t="s">
        <v>238</v>
      </c>
      <c r="C101" t="s">
        <v>40</v>
      </c>
      <c r="D101" t="s">
        <v>47</v>
      </c>
      <c r="E101">
        <v>0.5</v>
      </c>
    </row>
    <row r="102" spans="1:6" x14ac:dyDescent="0.25">
      <c r="A102" t="s">
        <v>31</v>
      </c>
      <c r="B102" t="s">
        <v>239</v>
      </c>
      <c r="C102" t="s">
        <v>19</v>
      </c>
      <c r="D102" t="s">
        <v>24</v>
      </c>
      <c r="E102">
        <v>0.49</v>
      </c>
    </row>
    <row r="103" spans="1:6" x14ac:dyDescent="0.25">
      <c r="A103" t="s">
        <v>31</v>
      </c>
      <c r="B103" t="s">
        <v>240</v>
      </c>
      <c r="C103" t="s">
        <v>20</v>
      </c>
      <c r="D103" t="s">
        <v>23</v>
      </c>
      <c r="E103">
        <v>0.495</v>
      </c>
    </row>
    <row r="104" spans="1:6" x14ac:dyDescent="0.25">
      <c r="A104" t="s">
        <v>31</v>
      </c>
      <c r="B104" t="s">
        <v>241</v>
      </c>
      <c r="C104" t="s">
        <v>21</v>
      </c>
      <c r="D104" t="s">
        <v>22</v>
      </c>
      <c r="E104">
        <v>0.48</v>
      </c>
    </row>
    <row r="105" spans="1:6" x14ac:dyDescent="0.25">
      <c r="A105" t="s">
        <v>31</v>
      </c>
      <c r="B105" t="s">
        <v>242</v>
      </c>
      <c r="C105" t="s">
        <v>11</v>
      </c>
      <c r="D105" t="s">
        <v>2</v>
      </c>
      <c r="E105">
        <v>0.47</v>
      </c>
    </row>
    <row r="106" spans="1:6" x14ac:dyDescent="0.25">
      <c r="A106" t="s">
        <v>31</v>
      </c>
      <c r="B106" t="s">
        <v>243</v>
      </c>
      <c r="C106" t="s">
        <v>12</v>
      </c>
      <c r="D106" t="s">
        <v>16</v>
      </c>
      <c r="E106">
        <v>0.47</v>
      </c>
    </row>
    <row r="107" spans="1:6" x14ac:dyDescent="0.25">
      <c r="A107" t="s">
        <v>31</v>
      </c>
      <c r="B107" t="s">
        <v>244</v>
      </c>
      <c r="C107" t="s">
        <v>13</v>
      </c>
      <c r="D107" t="s">
        <v>18</v>
      </c>
      <c r="E107">
        <v>0.45</v>
      </c>
    </row>
    <row r="108" spans="1:6" x14ac:dyDescent="0.25">
      <c r="A108" t="s">
        <v>31</v>
      </c>
      <c r="B108" t="s">
        <v>245</v>
      </c>
      <c r="C108" t="s">
        <v>14</v>
      </c>
      <c r="D108" t="s">
        <v>17</v>
      </c>
      <c r="E108">
        <v>0.45</v>
      </c>
    </row>
    <row r="109" spans="1:6" x14ac:dyDescent="0.25">
      <c r="A109" t="s">
        <v>31</v>
      </c>
      <c r="B109" t="s">
        <v>246</v>
      </c>
      <c r="C109" t="s">
        <v>15</v>
      </c>
      <c r="D109" t="s">
        <v>3</v>
      </c>
      <c r="E109">
        <v>0.44</v>
      </c>
    </row>
    <row r="110" spans="1:6" x14ac:dyDescent="0.25">
      <c r="A110" t="s">
        <v>188</v>
      </c>
      <c r="B110" t="s">
        <v>247</v>
      </c>
      <c r="C110">
        <v>2009</v>
      </c>
      <c r="D110" t="s">
        <v>47</v>
      </c>
      <c r="E110">
        <v>150000000</v>
      </c>
      <c r="F110" t="s">
        <v>189</v>
      </c>
    </row>
    <row r="111" spans="1:6" x14ac:dyDescent="0.25">
      <c r="A111" t="s">
        <v>188</v>
      </c>
      <c r="B111" t="s">
        <v>248</v>
      </c>
      <c r="C111">
        <v>2010</v>
      </c>
      <c r="D111" t="s">
        <v>2</v>
      </c>
      <c r="E111">
        <v>200000000</v>
      </c>
    </row>
    <row r="112" spans="1:6" x14ac:dyDescent="0.25">
      <c r="A112" t="s">
        <v>188</v>
      </c>
      <c r="B112" t="s">
        <v>249</v>
      </c>
      <c r="C112">
        <v>2011</v>
      </c>
      <c r="D112" t="s">
        <v>3</v>
      </c>
      <c r="E112">
        <v>280000000</v>
      </c>
    </row>
    <row r="113" spans="1:6" x14ac:dyDescent="0.25">
      <c r="A113" t="s">
        <v>190</v>
      </c>
      <c r="B113" t="s">
        <v>250</v>
      </c>
      <c r="C113">
        <v>2009</v>
      </c>
      <c r="D113" t="s">
        <v>47</v>
      </c>
      <c r="E113">
        <v>1</v>
      </c>
      <c r="F113" t="s">
        <v>154</v>
      </c>
    </row>
    <row r="114" spans="1:6" x14ac:dyDescent="0.25">
      <c r="A114" t="s">
        <v>190</v>
      </c>
      <c r="B114" t="s">
        <v>251</v>
      </c>
      <c r="C114">
        <v>2010</v>
      </c>
      <c r="D114" t="s">
        <v>2</v>
      </c>
      <c r="E114">
        <v>2</v>
      </c>
    </row>
    <row r="115" spans="1:6" x14ac:dyDescent="0.25">
      <c r="A115" t="s">
        <v>190</v>
      </c>
      <c r="B115" t="s">
        <v>252</v>
      </c>
      <c r="C115">
        <v>2011</v>
      </c>
      <c r="D115" t="s">
        <v>3</v>
      </c>
      <c r="E115">
        <v>5</v>
      </c>
    </row>
    <row r="116" spans="1:6" x14ac:dyDescent="0.25">
      <c r="A116" t="s">
        <v>191</v>
      </c>
      <c r="B116" t="s">
        <v>253</v>
      </c>
      <c r="C116">
        <v>2009</v>
      </c>
      <c r="D116" t="s">
        <v>47</v>
      </c>
      <c r="E116">
        <v>0.1</v>
      </c>
      <c r="F116" t="s">
        <v>192</v>
      </c>
    </row>
    <row r="117" spans="1:6" x14ac:dyDescent="0.25">
      <c r="A117" t="s">
        <v>191</v>
      </c>
      <c r="B117" t="s">
        <v>254</v>
      </c>
      <c r="C117">
        <v>2010</v>
      </c>
      <c r="D117" t="s">
        <v>2</v>
      </c>
      <c r="E117">
        <v>0.13</v>
      </c>
    </row>
    <row r="118" spans="1:6" x14ac:dyDescent="0.25">
      <c r="A118" t="s">
        <v>191</v>
      </c>
      <c r="B118" t="s">
        <v>255</v>
      </c>
      <c r="C118">
        <v>2011</v>
      </c>
      <c r="D118" t="s">
        <v>3</v>
      </c>
      <c r="E118">
        <v>0.21</v>
      </c>
    </row>
    <row r="119" spans="1:6" x14ac:dyDescent="0.25">
      <c r="A119" t="s">
        <v>193</v>
      </c>
      <c r="B119" t="s">
        <v>256</v>
      </c>
      <c r="C119">
        <v>2009</v>
      </c>
      <c r="D119" t="s">
        <v>47</v>
      </c>
      <c r="E119">
        <v>22</v>
      </c>
      <c r="F119" t="s">
        <v>194</v>
      </c>
    </row>
    <row r="120" spans="1:6" x14ac:dyDescent="0.25">
      <c r="A120" t="s">
        <v>193</v>
      </c>
      <c r="B120" t="s">
        <v>257</v>
      </c>
      <c r="C120">
        <v>2010</v>
      </c>
      <c r="D120" t="s">
        <v>2</v>
      </c>
      <c r="E120">
        <v>18</v>
      </c>
    </row>
    <row r="121" spans="1:6" x14ac:dyDescent="0.25">
      <c r="A121" t="s">
        <v>193</v>
      </c>
      <c r="B121" t="s">
        <v>258</v>
      </c>
      <c r="C121">
        <v>2011</v>
      </c>
      <c r="D121" t="s">
        <v>3</v>
      </c>
      <c r="E121">
        <v>15</v>
      </c>
    </row>
    <row r="122" spans="1:6" x14ac:dyDescent="0.25">
      <c r="A122" t="s">
        <v>195</v>
      </c>
      <c r="B122" t="s">
        <v>259</v>
      </c>
      <c r="C122">
        <v>2009</v>
      </c>
      <c r="D122" t="s">
        <v>47</v>
      </c>
      <c r="E122">
        <v>6</v>
      </c>
      <c r="F122" t="s">
        <v>196</v>
      </c>
    </row>
    <row r="123" spans="1:6" x14ac:dyDescent="0.25">
      <c r="A123" t="s">
        <v>195</v>
      </c>
      <c r="B123" t="s">
        <v>260</v>
      </c>
      <c r="C123">
        <v>2010</v>
      </c>
      <c r="D123" t="s">
        <v>2</v>
      </c>
      <c r="E123">
        <v>16</v>
      </c>
    </row>
    <row r="124" spans="1:6" x14ac:dyDescent="0.25">
      <c r="A124" t="s">
        <v>195</v>
      </c>
      <c r="B124" t="s">
        <v>261</v>
      </c>
      <c r="C124">
        <v>2011</v>
      </c>
      <c r="D124" t="s">
        <v>3</v>
      </c>
      <c r="E124">
        <v>23</v>
      </c>
    </row>
    <row r="125" spans="1:6" x14ac:dyDescent="0.25">
      <c r="A125" t="s">
        <v>197</v>
      </c>
      <c r="B125" t="s">
        <v>262</v>
      </c>
      <c r="C125">
        <v>2009</v>
      </c>
      <c r="D125" t="s">
        <v>47</v>
      </c>
      <c r="E125">
        <v>66</v>
      </c>
      <c r="F125" t="s">
        <v>198</v>
      </c>
    </row>
    <row r="126" spans="1:6" x14ac:dyDescent="0.25">
      <c r="A126" t="s">
        <v>197</v>
      </c>
      <c r="B126" t="s">
        <v>263</v>
      </c>
      <c r="C126">
        <v>2010</v>
      </c>
      <c r="D126" t="s">
        <v>2</v>
      </c>
      <c r="E126">
        <v>74</v>
      </c>
    </row>
    <row r="127" spans="1:6" x14ac:dyDescent="0.25">
      <c r="A127" t="s">
        <v>197</v>
      </c>
      <c r="B127" t="s">
        <v>264</v>
      </c>
      <c r="C127">
        <v>2011</v>
      </c>
      <c r="D127" t="s">
        <v>3</v>
      </c>
      <c r="E127">
        <v>85</v>
      </c>
    </row>
    <row r="128" spans="1:6" x14ac:dyDescent="0.25">
      <c r="A128" t="s">
        <v>199</v>
      </c>
      <c r="B128" t="s">
        <v>265</v>
      </c>
      <c r="C128">
        <v>2009</v>
      </c>
      <c r="D128" t="s">
        <v>47</v>
      </c>
      <c r="E128">
        <v>6.54</v>
      </c>
      <c r="F128" t="s">
        <v>145</v>
      </c>
    </row>
    <row r="129" spans="1:6" x14ac:dyDescent="0.25">
      <c r="A129" t="s">
        <v>199</v>
      </c>
      <c r="B129" t="s">
        <v>266</v>
      </c>
      <c r="C129">
        <v>2010</v>
      </c>
      <c r="D129" t="s">
        <v>2</v>
      </c>
      <c r="E129">
        <v>7.9</v>
      </c>
    </row>
    <row r="130" spans="1:6" x14ac:dyDescent="0.25">
      <c r="A130" t="s">
        <v>199</v>
      </c>
      <c r="B130" t="s">
        <v>267</v>
      </c>
      <c r="C130">
        <v>2011</v>
      </c>
      <c r="D130" t="s">
        <v>3</v>
      </c>
      <c r="E130">
        <v>8.77</v>
      </c>
    </row>
    <row r="131" spans="1:6" x14ac:dyDescent="0.25">
      <c r="A131" t="s">
        <v>200</v>
      </c>
      <c r="B131" t="s">
        <v>268</v>
      </c>
      <c r="C131" t="s">
        <v>41</v>
      </c>
      <c r="D131" t="s">
        <v>44</v>
      </c>
      <c r="E131">
        <v>6.5</v>
      </c>
      <c r="F131" t="s">
        <v>201</v>
      </c>
    </row>
    <row r="132" spans="1:6" x14ac:dyDescent="0.25">
      <c r="A132" t="s">
        <v>200</v>
      </c>
      <c r="B132" t="s">
        <v>269</v>
      </c>
      <c r="C132" t="s">
        <v>42</v>
      </c>
      <c r="D132" t="s">
        <v>45</v>
      </c>
      <c r="E132">
        <v>7.6</v>
      </c>
    </row>
    <row r="133" spans="1:6" x14ac:dyDescent="0.25">
      <c r="A133" t="s">
        <v>200</v>
      </c>
      <c r="B133" t="s">
        <v>270</v>
      </c>
      <c r="C133" t="s">
        <v>43</v>
      </c>
      <c r="D133" t="s">
        <v>46</v>
      </c>
      <c r="E133">
        <v>8.9</v>
      </c>
    </row>
    <row r="134" spans="1:6" x14ac:dyDescent="0.25">
      <c r="A134" t="s">
        <v>200</v>
      </c>
      <c r="B134" t="s">
        <v>271</v>
      </c>
      <c r="C134" t="s">
        <v>40</v>
      </c>
      <c r="D134" t="s">
        <v>47</v>
      </c>
      <c r="E134">
        <v>9.1999999999999993</v>
      </c>
    </row>
    <row r="135" spans="1:6" x14ac:dyDescent="0.25">
      <c r="A135" t="s">
        <v>200</v>
      </c>
      <c r="B135" t="s">
        <v>272</v>
      </c>
      <c r="C135" t="s">
        <v>19</v>
      </c>
      <c r="D135" t="s">
        <v>24</v>
      </c>
      <c r="E135">
        <v>11</v>
      </c>
    </row>
    <row r="136" spans="1:6" x14ac:dyDescent="0.25">
      <c r="A136" t="s">
        <v>200</v>
      </c>
      <c r="B136" t="s">
        <v>273</v>
      </c>
      <c r="C136" t="s">
        <v>20</v>
      </c>
      <c r="D136" t="s">
        <v>23</v>
      </c>
      <c r="E136">
        <v>12.2</v>
      </c>
    </row>
    <row r="137" spans="1:6" x14ac:dyDescent="0.25">
      <c r="A137" t="s">
        <v>200</v>
      </c>
      <c r="B137" t="s">
        <v>274</v>
      </c>
      <c r="C137" t="s">
        <v>21</v>
      </c>
      <c r="D137" t="s">
        <v>22</v>
      </c>
      <c r="E137">
        <v>13.5</v>
      </c>
    </row>
    <row r="138" spans="1:6" x14ac:dyDescent="0.25">
      <c r="A138" t="s">
        <v>200</v>
      </c>
      <c r="B138" t="s">
        <v>275</v>
      </c>
      <c r="C138" t="s">
        <v>11</v>
      </c>
      <c r="D138" t="s">
        <v>2</v>
      </c>
      <c r="E138">
        <v>14.5</v>
      </c>
    </row>
    <row r="139" spans="1:6" x14ac:dyDescent="0.25">
      <c r="A139" t="s">
        <v>200</v>
      </c>
      <c r="B139" t="s">
        <v>276</v>
      </c>
      <c r="C139" t="s">
        <v>12</v>
      </c>
      <c r="D139" t="s">
        <v>16</v>
      </c>
      <c r="E139">
        <v>16</v>
      </c>
    </row>
    <row r="140" spans="1:6" x14ac:dyDescent="0.25">
      <c r="A140" t="s">
        <v>200</v>
      </c>
      <c r="B140" t="s">
        <v>277</v>
      </c>
      <c r="C140" t="s">
        <v>13</v>
      </c>
      <c r="D140" t="s">
        <v>18</v>
      </c>
      <c r="E140">
        <v>16.8</v>
      </c>
    </row>
    <row r="141" spans="1:6" x14ac:dyDescent="0.25">
      <c r="A141" t="s">
        <v>200</v>
      </c>
      <c r="B141" t="s">
        <v>278</v>
      </c>
      <c r="C141" t="s">
        <v>14</v>
      </c>
      <c r="D141" t="s">
        <v>17</v>
      </c>
      <c r="E141">
        <v>20.2</v>
      </c>
    </row>
    <row r="142" spans="1:6" x14ac:dyDescent="0.25">
      <c r="A142" t="s">
        <v>200</v>
      </c>
      <c r="B142" t="s">
        <v>279</v>
      </c>
      <c r="C142" t="s">
        <v>15</v>
      </c>
      <c r="D142" t="s">
        <v>3</v>
      </c>
      <c r="E142">
        <v>22.5</v>
      </c>
    </row>
    <row r="143" spans="1:6" x14ac:dyDescent="0.25">
      <c r="A143" t="s">
        <v>202</v>
      </c>
      <c r="B143" t="s">
        <v>280</v>
      </c>
      <c r="C143" t="s">
        <v>41</v>
      </c>
      <c r="D143" t="s">
        <v>44</v>
      </c>
      <c r="E143">
        <v>1250</v>
      </c>
      <c r="F143" t="s">
        <v>203</v>
      </c>
    </row>
    <row r="144" spans="1:6" x14ac:dyDescent="0.25">
      <c r="A144" t="s">
        <v>202</v>
      </c>
      <c r="B144" t="s">
        <v>281</v>
      </c>
      <c r="C144" t="s">
        <v>42</v>
      </c>
      <c r="D144" t="s">
        <v>45</v>
      </c>
      <c r="E144">
        <v>2500</v>
      </c>
    </row>
    <row r="145" spans="1:6" x14ac:dyDescent="0.25">
      <c r="A145" t="s">
        <v>202</v>
      </c>
      <c r="B145" t="s">
        <v>282</v>
      </c>
      <c r="C145" t="s">
        <v>43</v>
      </c>
      <c r="D145" t="s">
        <v>46</v>
      </c>
      <c r="E145">
        <v>4125</v>
      </c>
    </row>
    <row r="146" spans="1:6" x14ac:dyDescent="0.25">
      <c r="A146" t="s">
        <v>202</v>
      </c>
      <c r="B146" t="s">
        <v>283</v>
      </c>
      <c r="C146" t="s">
        <v>40</v>
      </c>
      <c r="D146" t="s">
        <v>47</v>
      </c>
      <c r="E146">
        <v>4521</v>
      </c>
    </row>
    <row r="147" spans="1:6" x14ac:dyDescent="0.25">
      <c r="A147" t="s">
        <v>202</v>
      </c>
      <c r="B147" t="s">
        <v>284</v>
      </c>
      <c r="C147" t="s">
        <v>19</v>
      </c>
      <c r="D147" t="s">
        <v>24</v>
      </c>
      <c r="E147">
        <v>5120</v>
      </c>
    </row>
    <row r="148" spans="1:6" x14ac:dyDescent="0.25">
      <c r="A148" t="s">
        <v>202</v>
      </c>
      <c r="B148" t="s">
        <v>285</v>
      </c>
      <c r="C148" t="s">
        <v>20</v>
      </c>
      <c r="D148" t="s">
        <v>23</v>
      </c>
      <c r="E148">
        <v>5300</v>
      </c>
    </row>
    <row r="149" spans="1:6" x14ac:dyDescent="0.25">
      <c r="A149" t="s">
        <v>202</v>
      </c>
      <c r="B149" t="s">
        <v>286</v>
      </c>
      <c r="C149" t="s">
        <v>21</v>
      </c>
      <c r="D149" t="s">
        <v>22</v>
      </c>
      <c r="E149">
        <v>6248</v>
      </c>
    </row>
    <row r="150" spans="1:6" x14ac:dyDescent="0.25">
      <c r="A150" t="s">
        <v>202</v>
      </c>
      <c r="B150" t="s">
        <v>287</v>
      </c>
      <c r="C150" t="s">
        <v>11</v>
      </c>
      <c r="D150" t="s">
        <v>2</v>
      </c>
      <c r="E150">
        <v>7505</v>
      </c>
    </row>
    <row r="151" spans="1:6" x14ac:dyDescent="0.25">
      <c r="A151" t="s">
        <v>202</v>
      </c>
      <c r="B151" t="s">
        <v>288</v>
      </c>
      <c r="C151" t="s">
        <v>12</v>
      </c>
      <c r="D151" t="s">
        <v>16</v>
      </c>
      <c r="E151">
        <v>8102</v>
      </c>
    </row>
    <row r="152" spans="1:6" x14ac:dyDescent="0.25">
      <c r="A152" t="s">
        <v>202</v>
      </c>
      <c r="B152" t="s">
        <v>289</v>
      </c>
      <c r="C152" t="s">
        <v>13</v>
      </c>
      <c r="D152" t="s">
        <v>18</v>
      </c>
      <c r="E152">
        <v>8520</v>
      </c>
    </row>
    <row r="153" spans="1:6" x14ac:dyDescent="0.25">
      <c r="A153" t="s">
        <v>202</v>
      </c>
      <c r="B153" t="s">
        <v>290</v>
      </c>
      <c r="C153" t="s">
        <v>14</v>
      </c>
      <c r="D153" t="s">
        <v>17</v>
      </c>
      <c r="E153">
        <v>9502</v>
      </c>
    </row>
    <row r="154" spans="1:6" x14ac:dyDescent="0.25">
      <c r="A154" t="s">
        <v>202</v>
      </c>
      <c r="B154" t="s">
        <v>291</v>
      </c>
      <c r="C154" t="s">
        <v>15</v>
      </c>
      <c r="D154" t="s">
        <v>3</v>
      </c>
      <c r="E154">
        <v>9566</v>
      </c>
    </row>
    <row r="155" spans="1:6" x14ac:dyDescent="0.25">
      <c r="A155" t="s">
        <v>204</v>
      </c>
      <c r="B155" t="s">
        <v>292</v>
      </c>
      <c r="C155" t="s">
        <v>57</v>
      </c>
      <c r="D155" t="s">
        <v>69</v>
      </c>
      <c r="E155">
        <v>65</v>
      </c>
      <c r="F155" t="s">
        <v>205</v>
      </c>
    </row>
    <row r="156" spans="1:6" x14ac:dyDescent="0.25">
      <c r="A156" t="s">
        <v>204</v>
      </c>
      <c r="B156" t="s">
        <v>293</v>
      </c>
      <c r="C156" t="s">
        <v>59</v>
      </c>
      <c r="D156" t="s">
        <v>76</v>
      </c>
      <c r="E156">
        <v>67</v>
      </c>
    </row>
    <row r="157" spans="1:6" x14ac:dyDescent="0.25">
      <c r="A157" t="s">
        <v>204</v>
      </c>
      <c r="B157" t="s">
        <v>294</v>
      </c>
      <c r="C157" t="s">
        <v>58</v>
      </c>
      <c r="D157" t="s">
        <v>44</v>
      </c>
      <c r="E157">
        <v>65</v>
      </c>
    </row>
    <row r="158" spans="1:6" x14ac:dyDescent="0.25">
      <c r="A158" t="s">
        <v>204</v>
      </c>
      <c r="B158" t="s">
        <v>295</v>
      </c>
      <c r="C158" t="s">
        <v>60</v>
      </c>
      <c r="D158" t="s">
        <v>75</v>
      </c>
      <c r="E158">
        <v>68</v>
      </c>
    </row>
    <row r="159" spans="1:6" x14ac:dyDescent="0.25">
      <c r="A159" t="s">
        <v>204</v>
      </c>
      <c r="B159" t="s">
        <v>296</v>
      </c>
      <c r="C159" t="s">
        <v>61</v>
      </c>
      <c r="D159" t="s">
        <v>70</v>
      </c>
      <c r="E159">
        <v>70</v>
      </c>
    </row>
    <row r="160" spans="1:6" x14ac:dyDescent="0.25">
      <c r="A160" t="s">
        <v>204</v>
      </c>
      <c r="B160" t="s">
        <v>297</v>
      </c>
      <c r="C160" t="s">
        <v>62</v>
      </c>
      <c r="D160" t="s">
        <v>45</v>
      </c>
      <c r="E160">
        <v>72</v>
      </c>
    </row>
    <row r="161" spans="1:5" x14ac:dyDescent="0.25">
      <c r="A161" t="s">
        <v>204</v>
      </c>
      <c r="B161" t="s">
        <v>298</v>
      </c>
      <c r="C161" t="s">
        <v>63</v>
      </c>
      <c r="D161" t="s">
        <v>71</v>
      </c>
      <c r="E161">
        <v>74</v>
      </c>
    </row>
    <row r="162" spans="1:5" x14ac:dyDescent="0.25">
      <c r="A162" t="s">
        <v>204</v>
      </c>
      <c r="B162" t="s">
        <v>299</v>
      </c>
      <c r="C162" t="s">
        <v>64</v>
      </c>
      <c r="D162" t="s">
        <v>72</v>
      </c>
      <c r="E162">
        <v>74</v>
      </c>
    </row>
    <row r="163" spans="1:5" x14ac:dyDescent="0.25">
      <c r="A163" t="s">
        <v>204</v>
      </c>
      <c r="B163" t="s">
        <v>300</v>
      </c>
      <c r="C163" t="s">
        <v>65</v>
      </c>
      <c r="D163" t="s">
        <v>46</v>
      </c>
      <c r="E163">
        <v>75</v>
      </c>
    </row>
    <row r="164" spans="1:5" x14ac:dyDescent="0.25">
      <c r="A164" t="s">
        <v>204</v>
      </c>
      <c r="B164" t="s">
        <v>301</v>
      </c>
      <c r="C164" t="s">
        <v>66</v>
      </c>
      <c r="D164" t="s">
        <v>73</v>
      </c>
      <c r="E164">
        <v>77</v>
      </c>
    </row>
    <row r="165" spans="1:5" x14ac:dyDescent="0.25">
      <c r="A165" t="s">
        <v>204</v>
      </c>
      <c r="B165" t="s">
        <v>302</v>
      </c>
      <c r="C165" t="s">
        <v>67</v>
      </c>
      <c r="D165" t="s">
        <v>74</v>
      </c>
      <c r="E165">
        <v>78</v>
      </c>
    </row>
    <row r="166" spans="1:5" x14ac:dyDescent="0.25">
      <c r="A166" t="s">
        <v>204</v>
      </c>
      <c r="B166" t="s">
        <v>303</v>
      </c>
      <c r="C166" t="s">
        <v>68</v>
      </c>
      <c r="D166" t="s">
        <v>47</v>
      </c>
      <c r="E166">
        <v>81</v>
      </c>
    </row>
    <row r="167" spans="1:5" x14ac:dyDescent="0.25">
      <c r="A167" t="s">
        <v>204</v>
      </c>
      <c r="B167" t="s">
        <v>304</v>
      </c>
      <c r="C167" t="s">
        <v>77</v>
      </c>
      <c r="D167" t="s">
        <v>78</v>
      </c>
      <c r="E167">
        <v>80</v>
      </c>
    </row>
    <row r="168" spans="1:5" x14ac:dyDescent="0.25">
      <c r="A168" t="s">
        <v>204</v>
      </c>
      <c r="B168" t="s">
        <v>305</v>
      </c>
      <c r="C168" t="s">
        <v>79</v>
      </c>
      <c r="D168" t="s">
        <v>80</v>
      </c>
      <c r="E168">
        <v>82</v>
      </c>
    </row>
    <row r="169" spans="1:5" x14ac:dyDescent="0.25">
      <c r="A169" t="s">
        <v>204</v>
      </c>
      <c r="B169" t="s">
        <v>306</v>
      </c>
      <c r="C169" t="s">
        <v>81</v>
      </c>
      <c r="D169" t="s">
        <v>24</v>
      </c>
      <c r="E169">
        <v>82</v>
      </c>
    </row>
    <row r="170" spans="1:5" x14ac:dyDescent="0.25">
      <c r="A170" t="s">
        <v>204</v>
      </c>
      <c r="B170" t="s">
        <v>307</v>
      </c>
      <c r="C170" t="s">
        <v>82</v>
      </c>
      <c r="D170" t="s">
        <v>83</v>
      </c>
      <c r="E170">
        <v>81</v>
      </c>
    </row>
    <row r="171" spans="1:5" x14ac:dyDescent="0.25">
      <c r="A171" t="s">
        <v>204</v>
      </c>
      <c r="B171" t="s">
        <v>308</v>
      </c>
      <c r="C171" t="s">
        <v>84</v>
      </c>
      <c r="D171" t="s">
        <v>85</v>
      </c>
      <c r="E171">
        <v>81</v>
      </c>
    </row>
    <row r="172" spans="1:5" x14ac:dyDescent="0.25">
      <c r="A172" t="s">
        <v>204</v>
      </c>
      <c r="B172" t="s">
        <v>309</v>
      </c>
      <c r="C172" t="s">
        <v>86</v>
      </c>
      <c r="D172" t="s">
        <v>23</v>
      </c>
      <c r="E172">
        <v>80</v>
      </c>
    </row>
    <row r="173" spans="1:5" x14ac:dyDescent="0.25">
      <c r="A173" t="s">
        <v>204</v>
      </c>
      <c r="B173" t="s">
        <v>310</v>
      </c>
      <c r="C173" t="s">
        <v>87</v>
      </c>
      <c r="D173" t="s">
        <v>88</v>
      </c>
      <c r="E173">
        <v>79</v>
      </c>
    </row>
    <row r="174" spans="1:5" x14ac:dyDescent="0.25">
      <c r="A174" t="s">
        <v>204</v>
      </c>
      <c r="B174" t="s">
        <v>311</v>
      </c>
      <c r="C174" t="s">
        <v>89</v>
      </c>
      <c r="D174" t="s">
        <v>90</v>
      </c>
      <c r="E174">
        <v>82</v>
      </c>
    </row>
    <row r="175" spans="1:5" x14ac:dyDescent="0.25">
      <c r="A175" t="s">
        <v>204</v>
      </c>
      <c r="B175" t="s">
        <v>312</v>
      </c>
      <c r="C175" t="s">
        <v>91</v>
      </c>
      <c r="D175" t="s">
        <v>22</v>
      </c>
      <c r="E175">
        <v>82</v>
      </c>
    </row>
    <row r="176" spans="1:5" x14ac:dyDescent="0.25">
      <c r="A176" t="s">
        <v>204</v>
      </c>
      <c r="B176" t="s">
        <v>313</v>
      </c>
      <c r="C176" t="s">
        <v>92</v>
      </c>
      <c r="D176" t="s">
        <v>93</v>
      </c>
      <c r="E176">
        <v>83</v>
      </c>
    </row>
    <row r="177" spans="1:6" x14ac:dyDescent="0.25">
      <c r="A177" t="s">
        <v>204</v>
      </c>
      <c r="B177" t="s">
        <v>314</v>
      </c>
      <c r="C177" t="s">
        <v>94</v>
      </c>
      <c r="D177" t="s">
        <v>95</v>
      </c>
      <c r="E177">
        <v>83</v>
      </c>
    </row>
    <row r="178" spans="1:6" x14ac:dyDescent="0.25">
      <c r="A178" t="s">
        <v>204</v>
      </c>
      <c r="B178" t="s">
        <v>315</v>
      </c>
      <c r="C178" t="s">
        <v>96</v>
      </c>
      <c r="D178" t="s">
        <v>2</v>
      </c>
      <c r="E178">
        <v>83</v>
      </c>
    </row>
    <row r="179" spans="1:6" x14ac:dyDescent="0.25">
      <c r="A179" t="s">
        <v>204</v>
      </c>
      <c r="B179" t="s">
        <v>316</v>
      </c>
      <c r="C179" t="s">
        <v>97</v>
      </c>
      <c r="D179" t="s">
        <v>98</v>
      </c>
      <c r="E179">
        <v>83</v>
      </c>
    </row>
    <row r="180" spans="1:6" x14ac:dyDescent="0.25">
      <c r="A180" t="s">
        <v>204</v>
      </c>
      <c r="B180" t="s">
        <v>317</v>
      </c>
      <c r="C180" t="s">
        <v>99</v>
      </c>
      <c r="D180" t="s">
        <v>100</v>
      </c>
      <c r="E180">
        <v>85</v>
      </c>
    </row>
    <row r="181" spans="1:6" x14ac:dyDescent="0.25">
      <c r="A181" t="s">
        <v>204</v>
      </c>
      <c r="B181" t="s">
        <v>318</v>
      </c>
      <c r="C181" t="s">
        <v>101</v>
      </c>
      <c r="D181" t="s">
        <v>16</v>
      </c>
      <c r="E181">
        <v>85</v>
      </c>
    </row>
    <row r="182" spans="1:6" x14ac:dyDescent="0.25">
      <c r="A182" t="s">
        <v>204</v>
      </c>
      <c r="B182" t="s">
        <v>319</v>
      </c>
      <c r="C182" t="s">
        <v>102</v>
      </c>
      <c r="D182" t="s">
        <v>103</v>
      </c>
      <c r="E182">
        <v>86</v>
      </c>
    </row>
    <row r="183" spans="1:6" x14ac:dyDescent="0.25">
      <c r="A183" t="s">
        <v>204</v>
      </c>
      <c r="B183" t="s">
        <v>320</v>
      </c>
      <c r="C183" t="s">
        <v>104</v>
      </c>
      <c r="D183" t="s">
        <v>105</v>
      </c>
      <c r="E183">
        <v>86</v>
      </c>
    </row>
    <row r="184" spans="1:6" x14ac:dyDescent="0.25">
      <c r="A184" t="s">
        <v>204</v>
      </c>
      <c r="B184" t="s">
        <v>321</v>
      </c>
      <c r="C184" t="s">
        <v>106</v>
      </c>
      <c r="D184" t="s">
        <v>18</v>
      </c>
      <c r="E184">
        <v>88</v>
      </c>
    </row>
    <row r="185" spans="1:6" x14ac:dyDescent="0.25">
      <c r="A185" t="s">
        <v>204</v>
      </c>
      <c r="B185" t="s">
        <v>322</v>
      </c>
      <c r="C185" t="s">
        <v>107</v>
      </c>
      <c r="D185" t="s">
        <v>108</v>
      </c>
      <c r="E185">
        <v>88</v>
      </c>
    </row>
    <row r="186" spans="1:6" x14ac:dyDescent="0.25">
      <c r="A186" t="s">
        <v>204</v>
      </c>
      <c r="B186" t="s">
        <v>323</v>
      </c>
      <c r="C186" t="s">
        <v>109</v>
      </c>
      <c r="D186" t="s">
        <v>110</v>
      </c>
      <c r="E186">
        <v>89</v>
      </c>
    </row>
    <row r="187" spans="1:6" x14ac:dyDescent="0.25">
      <c r="A187" t="s">
        <v>204</v>
      </c>
      <c r="B187" t="s">
        <v>324</v>
      </c>
      <c r="C187" t="s">
        <v>111</v>
      </c>
      <c r="D187" t="s">
        <v>17</v>
      </c>
      <c r="E187">
        <v>90</v>
      </c>
    </row>
    <row r="188" spans="1:6" x14ac:dyDescent="0.25">
      <c r="A188" t="s">
        <v>204</v>
      </c>
      <c r="B188" t="s">
        <v>325</v>
      </c>
      <c r="C188" t="s">
        <v>112</v>
      </c>
      <c r="D188" t="s">
        <v>113</v>
      </c>
      <c r="E188">
        <v>92</v>
      </c>
    </row>
    <row r="189" spans="1:6" x14ac:dyDescent="0.25">
      <c r="A189" t="s">
        <v>204</v>
      </c>
      <c r="B189" t="s">
        <v>326</v>
      </c>
      <c r="C189" t="s">
        <v>114</v>
      </c>
      <c r="D189" t="s">
        <v>115</v>
      </c>
      <c r="E189">
        <v>91</v>
      </c>
    </row>
    <row r="190" spans="1:6" x14ac:dyDescent="0.25">
      <c r="A190" t="s">
        <v>204</v>
      </c>
      <c r="B190" t="s">
        <v>327</v>
      </c>
      <c r="C190" t="s">
        <v>116</v>
      </c>
      <c r="D190" t="s">
        <v>3</v>
      </c>
      <c r="E190">
        <v>92</v>
      </c>
    </row>
    <row r="191" spans="1:6" x14ac:dyDescent="0.25">
      <c r="A191" t="s">
        <v>206</v>
      </c>
      <c r="B191" t="s">
        <v>328</v>
      </c>
      <c r="C191" t="s">
        <v>41</v>
      </c>
      <c r="D191" t="s">
        <v>44</v>
      </c>
      <c r="E191">
        <v>16</v>
      </c>
      <c r="F191" t="s">
        <v>155</v>
      </c>
    </row>
    <row r="192" spans="1:6" x14ac:dyDescent="0.25">
      <c r="A192" t="s">
        <v>206</v>
      </c>
      <c r="B192" t="s">
        <v>329</v>
      </c>
      <c r="C192" t="s">
        <v>42</v>
      </c>
      <c r="D192" t="s">
        <v>45</v>
      </c>
      <c r="E192">
        <v>12</v>
      </c>
    </row>
    <row r="193" spans="1:6" x14ac:dyDescent="0.25">
      <c r="A193" t="s">
        <v>206</v>
      </c>
      <c r="B193" t="s">
        <v>330</v>
      </c>
      <c r="C193" t="s">
        <v>43</v>
      </c>
      <c r="D193" t="s">
        <v>46</v>
      </c>
      <c r="E193">
        <v>13</v>
      </c>
    </row>
    <row r="194" spans="1:6" x14ac:dyDescent="0.25">
      <c r="A194" t="s">
        <v>206</v>
      </c>
      <c r="B194" t="s">
        <v>331</v>
      </c>
      <c r="C194" t="s">
        <v>40</v>
      </c>
      <c r="D194" t="s">
        <v>47</v>
      </c>
      <c r="E194">
        <v>10</v>
      </c>
    </row>
    <row r="195" spans="1:6" x14ac:dyDescent="0.25">
      <c r="A195" t="s">
        <v>206</v>
      </c>
      <c r="B195" t="s">
        <v>332</v>
      </c>
      <c r="C195" t="s">
        <v>19</v>
      </c>
      <c r="D195" t="s">
        <v>24</v>
      </c>
      <c r="E195">
        <v>11</v>
      </c>
    </row>
    <row r="196" spans="1:6" x14ac:dyDescent="0.25">
      <c r="A196" t="s">
        <v>206</v>
      </c>
      <c r="B196" t="s">
        <v>333</v>
      </c>
      <c r="C196" t="s">
        <v>20</v>
      </c>
      <c r="D196" t="s">
        <v>23</v>
      </c>
      <c r="E196">
        <v>10</v>
      </c>
    </row>
    <row r="197" spans="1:6" x14ac:dyDescent="0.25">
      <c r="A197" t="s">
        <v>206</v>
      </c>
      <c r="B197" t="s">
        <v>334</v>
      </c>
      <c r="C197" t="s">
        <v>21</v>
      </c>
      <c r="D197" t="s">
        <v>22</v>
      </c>
      <c r="E197">
        <v>10</v>
      </c>
    </row>
    <row r="198" spans="1:6" x14ac:dyDescent="0.25">
      <c r="A198" t="s">
        <v>206</v>
      </c>
      <c r="B198" t="s">
        <v>335</v>
      </c>
      <c r="C198" t="s">
        <v>11</v>
      </c>
      <c r="D198" t="s">
        <v>2</v>
      </c>
      <c r="E198">
        <v>9</v>
      </c>
    </row>
    <row r="199" spans="1:6" x14ac:dyDescent="0.25">
      <c r="A199" t="s">
        <v>206</v>
      </c>
      <c r="B199" t="s">
        <v>336</v>
      </c>
      <c r="C199" t="s">
        <v>12</v>
      </c>
      <c r="D199" t="s">
        <v>16</v>
      </c>
      <c r="E199">
        <v>10</v>
      </c>
    </row>
    <row r="200" spans="1:6" x14ac:dyDescent="0.25">
      <c r="A200" t="s">
        <v>206</v>
      </c>
      <c r="B200" t="s">
        <v>337</v>
      </c>
      <c r="C200" t="s">
        <v>13</v>
      </c>
      <c r="D200" t="s">
        <v>18</v>
      </c>
      <c r="E200">
        <v>9</v>
      </c>
    </row>
    <row r="201" spans="1:6" x14ac:dyDescent="0.25">
      <c r="A201" t="s">
        <v>206</v>
      </c>
      <c r="B201" t="s">
        <v>338</v>
      </c>
      <c r="C201" t="s">
        <v>14</v>
      </c>
      <c r="D201" t="s">
        <v>17</v>
      </c>
      <c r="E201">
        <v>8</v>
      </c>
    </row>
    <row r="202" spans="1:6" x14ac:dyDescent="0.25">
      <c r="A202" t="s">
        <v>206</v>
      </c>
      <c r="B202" t="s">
        <v>339</v>
      </c>
      <c r="C202" t="s">
        <v>15</v>
      </c>
      <c r="D202" t="s">
        <v>3</v>
      </c>
      <c r="E202">
        <v>8</v>
      </c>
    </row>
    <row r="203" spans="1:6" x14ac:dyDescent="0.25">
      <c r="A203" t="s">
        <v>207</v>
      </c>
      <c r="B203" t="s">
        <v>340</v>
      </c>
      <c r="C203" t="s">
        <v>41</v>
      </c>
      <c r="D203" t="s">
        <v>44</v>
      </c>
      <c r="E203">
        <v>128</v>
      </c>
      <c r="F203" t="s">
        <v>166</v>
      </c>
    </row>
    <row r="204" spans="1:6" x14ac:dyDescent="0.25">
      <c r="A204" t="s">
        <v>207</v>
      </c>
      <c r="B204" t="s">
        <v>341</v>
      </c>
      <c r="C204" t="s">
        <v>42</v>
      </c>
      <c r="D204" t="s">
        <v>45</v>
      </c>
      <c r="E204">
        <v>122</v>
      </c>
    </row>
    <row r="205" spans="1:6" x14ac:dyDescent="0.25">
      <c r="A205" t="s">
        <v>207</v>
      </c>
      <c r="B205" t="s">
        <v>342</v>
      </c>
      <c r="C205" t="s">
        <v>43</v>
      </c>
      <c r="D205" t="s">
        <v>46</v>
      </c>
      <c r="E205">
        <v>108</v>
      </c>
    </row>
    <row r="206" spans="1:6" x14ac:dyDescent="0.25">
      <c r="A206" t="s">
        <v>207</v>
      </c>
      <c r="B206" t="s">
        <v>343</v>
      </c>
      <c r="C206" t="s">
        <v>40</v>
      </c>
      <c r="D206" t="s">
        <v>47</v>
      </c>
      <c r="E206">
        <v>107</v>
      </c>
    </row>
    <row r="207" spans="1:6" x14ac:dyDescent="0.25">
      <c r="A207" t="s">
        <v>207</v>
      </c>
      <c r="B207" t="s">
        <v>344</v>
      </c>
      <c r="C207" t="s">
        <v>19</v>
      </c>
      <c r="D207" t="s">
        <v>24</v>
      </c>
      <c r="E207">
        <v>105</v>
      </c>
    </row>
    <row r="208" spans="1:6" x14ac:dyDescent="0.25">
      <c r="A208" t="s">
        <v>207</v>
      </c>
      <c r="B208" t="s">
        <v>345</v>
      </c>
      <c r="C208" t="s">
        <v>20</v>
      </c>
      <c r="D208" t="s">
        <v>23</v>
      </c>
      <c r="E208">
        <v>104</v>
      </c>
    </row>
    <row r="209" spans="1:6" x14ac:dyDescent="0.25">
      <c r="A209" t="s">
        <v>207</v>
      </c>
      <c r="B209" t="s">
        <v>346</v>
      </c>
      <c r="C209" t="s">
        <v>21</v>
      </c>
      <c r="D209" t="s">
        <v>22</v>
      </c>
      <c r="E209">
        <v>107</v>
      </c>
    </row>
    <row r="210" spans="1:6" x14ac:dyDescent="0.25">
      <c r="A210" t="s">
        <v>207</v>
      </c>
      <c r="B210" t="s">
        <v>347</v>
      </c>
      <c r="C210" t="s">
        <v>11</v>
      </c>
      <c r="D210" t="s">
        <v>2</v>
      </c>
      <c r="E210">
        <v>95</v>
      </c>
    </row>
    <row r="211" spans="1:6" x14ac:dyDescent="0.25">
      <c r="A211" t="s">
        <v>207</v>
      </c>
      <c r="B211" t="s">
        <v>348</v>
      </c>
      <c r="C211" t="s">
        <v>12</v>
      </c>
      <c r="D211" t="s">
        <v>16</v>
      </c>
      <c r="E211">
        <v>94</v>
      </c>
    </row>
    <row r="212" spans="1:6" x14ac:dyDescent="0.25">
      <c r="A212" t="s">
        <v>207</v>
      </c>
      <c r="B212" t="s">
        <v>349</v>
      </c>
      <c r="C212" t="s">
        <v>13</v>
      </c>
      <c r="D212" t="s">
        <v>18</v>
      </c>
      <c r="E212">
        <v>92</v>
      </c>
    </row>
    <row r="213" spans="1:6" x14ac:dyDescent="0.25">
      <c r="A213" t="s">
        <v>207</v>
      </c>
      <c r="B213" t="s">
        <v>350</v>
      </c>
      <c r="C213" t="s">
        <v>14</v>
      </c>
      <c r="D213" t="s">
        <v>17</v>
      </c>
      <c r="E213">
        <v>80</v>
      </c>
    </row>
    <row r="214" spans="1:6" x14ac:dyDescent="0.25">
      <c r="A214" t="s">
        <v>207</v>
      </c>
      <c r="B214" t="s">
        <v>351</v>
      </c>
      <c r="C214" t="s">
        <v>15</v>
      </c>
      <c r="D214" t="s">
        <v>3</v>
      </c>
      <c r="E214">
        <v>78</v>
      </c>
    </row>
    <row r="215" spans="1:6" x14ac:dyDescent="0.25">
      <c r="A215" t="s">
        <v>208</v>
      </c>
      <c r="B215" t="s">
        <v>352</v>
      </c>
      <c r="C215" t="s">
        <v>41</v>
      </c>
      <c r="D215" t="s">
        <v>44</v>
      </c>
      <c r="E215">
        <v>4</v>
      </c>
      <c r="F215" t="s">
        <v>209</v>
      </c>
    </row>
    <row r="216" spans="1:6" x14ac:dyDescent="0.25">
      <c r="A216" t="s">
        <v>208</v>
      </c>
      <c r="B216" t="s">
        <v>353</v>
      </c>
      <c r="C216" t="s">
        <v>42</v>
      </c>
      <c r="D216" t="s">
        <v>45</v>
      </c>
      <c r="E216">
        <v>3.9</v>
      </c>
    </row>
    <row r="217" spans="1:6" x14ac:dyDescent="0.25">
      <c r="A217" t="s">
        <v>208</v>
      </c>
      <c r="B217" t="s">
        <v>354</v>
      </c>
      <c r="C217" t="s">
        <v>43</v>
      </c>
      <c r="D217" t="s">
        <v>46</v>
      </c>
      <c r="E217">
        <v>3.92</v>
      </c>
    </row>
    <row r="218" spans="1:6" x14ac:dyDescent="0.25">
      <c r="A218" t="s">
        <v>208</v>
      </c>
      <c r="B218" t="s">
        <v>355</v>
      </c>
      <c r="C218" t="s">
        <v>40</v>
      </c>
      <c r="D218" t="s">
        <v>47</v>
      </c>
      <c r="E218">
        <v>2.99</v>
      </c>
    </row>
    <row r="219" spans="1:6" x14ac:dyDescent="0.25">
      <c r="A219" t="s">
        <v>208</v>
      </c>
      <c r="B219" t="s">
        <v>356</v>
      </c>
      <c r="C219" t="s">
        <v>19</v>
      </c>
      <c r="D219" t="s">
        <v>24</v>
      </c>
      <c r="E219">
        <v>3.05</v>
      </c>
    </row>
    <row r="220" spans="1:6" x14ac:dyDescent="0.25">
      <c r="A220" t="s">
        <v>208</v>
      </c>
      <c r="B220" t="s">
        <v>357</v>
      </c>
      <c r="C220" t="s">
        <v>20</v>
      </c>
      <c r="D220" t="s">
        <v>23</v>
      </c>
      <c r="E220">
        <v>2.85</v>
      </c>
    </row>
    <row r="221" spans="1:6" x14ac:dyDescent="0.25">
      <c r="A221" t="s">
        <v>208</v>
      </c>
      <c r="B221" t="s">
        <v>358</v>
      </c>
      <c r="C221" t="s">
        <v>21</v>
      </c>
      <c r="D221" t="s">
        <v>22</v>
      </c>
      <c r="E221">
        <v>2.5</v>
      </c>
    </row>
    <row r="222" spans="1:6" x14ac:dyDescent="0.25">
      <c r="A222" t="s">
        <v>208</v>
      </c>
      <c r="B222" t="s">
        <v>359</v>
      </c>
      <c r="C222" t="s">
        <v>11</v>
      </c>
      <c r="D222" t="s">
        <v>2</v>
      </c>
      <c r="E222">
        <v>2.4300000000000002</v>
      </c>
    </row>
    <row r="223" spans="1:6" x14ac:dyDescent="0.25">
      <c r="A223" t="s">
        <v>208</v>
      </c>
      <c r="B223" t="s">
        <v>360</v>
      </c>
      <c r="C223" t="s">
        <v>12</v>
      </c>
      <c r="D223" t="s">
        <v>16</v>
      </c>
      <c r="E223">
        <v>2.1</v>
      </c>
    </row>
    <row r="224" spans="1:6" x14ac:dyDescent="0.25">
      <c r="A224" t="s">
        <v>208</v>
      </c>
      <c r="B224" t="s">
        <v>361</v>
      </c>
      <c r="C224" t="s">
        <v>13</v>
      </c>
      <c r="D224" t="s">
        <v>18</v>
      </c>
      <c r="E224">
        <v>2.2000000000000002</v>
      </c>
    </row>
    <row r="225" spans="1:6" x14ac:dyDescent="0.25">
      <c r="A225" t="s">
        <v>208</v>
      </c>
      <c r="B225" t="s">
        <v>362</v>
      </c>
      <c r="C225" t="s">
        <v>14</v>
      </c>
      <c r="D225" t="s">
        <v>17</v>
      </c>
      <c r="E225">
        <v>1.98</v>
      </c>
    </row>
    <row r="226" spans="1:6" x14ac:dyDescent="0.25">
      <c r="A226" t="s">
        <v>208</v>
      </c>
      <c r="B226" t="s">
        <v>363</v>
      </c>
      <c r="C226" t="s">
        <v>15</v>
      </c>
      <c r="D226" t="s">
        <v>3</v>
      </c>
      <c r="E226">
        <v>1.9</v>
      </c>
    </row>
    <row r="227" spans="1:6" x14ac:dyDescent="0.25">
      <c r="A227" t="s">
        <v>210</v>
      </c>
      <c r="B227" t="s">
        <v>364</v>
      </c>
      <c r="C227" t="s">
        <v>41</v>
      </c>
      <c r="D227" t="s">
        <v>44</v>
      </c>
      <c r="E227">
        <v>52</v>
      </c>
      <c r="F227" t="s">
        <v>211</v>
      </c>
    </row>
    <row r="228" spans="1:6" x14ac:dyDescent="0.25">
      <c r="A228" t="s">
        <v>210</v>
      </c>
      <c r="B228" t="s">
        <v>365</v>
      </c>
      <c r="C228" t="s">
        <v>42</v>
      </c>
      <c r="D228" t="s">
        <v>45</v>
      </c>
      <c r="E228">
        <v>51.5</v>
      </c>
    </row>
    <row r="229" spans="1:6" x14ac:dyDescent="0.25">
      <c r="A229" t="s">
        <v>210</v>
      </c>
      <c r="B229" t="s">
        <v>366</v>
      </c>
      <c r="C229" t="s">
        <v>43</v>
      </c>
      <c r="D229" t="s">
        <v>46</v>
      </c>
      <c r="E229">
        <v>51.2</v>
      </c>
    </row>
    <row r="230" spans="1:6" x14ac:dyDescent="0.25">
      <c r="A230" t="s">
        <v>210</v>
      </c>
      <c r="B230" t="s">
        <v>367</v>
      </c>
      <c r="C230" t="s">
        <v>40</v>
      </c>
      <c r="D230" t="s">
        <v>47</v>
      </c>
      <c r="E230">
        <v>50.08</v>
      </c>
    </row>
    <row r="231" spans="1:6" x14ac:dyDescent="0.25">
      <c r="A231" t="s">
        <v>210</v>
      </c>
      <c r="B231" t="s">
        <v>368</v>
      </c>
      <c r="C231" t="s">
        <v>19</v>
      </c>
      <c r="D231" t="s">
        <v>24</v>
      </c>
      <c r="E231">
        <v>49.95</v>
      </c>
    </row>
    <row r="232" spans="1:6" x14ac:dyDescent="0.25">
      <c r="A232" t="s">
        <v>210</v>
      </c>
      <c r="B232" t="s">
        <v>369</v>
      </c>
      <c r="C232" t="s">
        <v>20</v>
      </c>
      <c r="D232" t="s">
        <v>23</v>
      </c>
      <c r="E232">
        <v>48</v>
      </c>
    </row>
    <row r="233" spans="1:6" x14ac:dyDescent="0.25">
      <c r="A233" t="s">
        <v>210</v>
      </c>
      <c r="B233" t="s">
        <v>370</v>
      </c>
      <c r="C233" t="s">
        <v>21</v>
      </c>
      <c r="D233" t="s">
        <v>22</v>
      </c>
      <c r="E233">
        <v>46.5</v>
      </c>
    </row>
    <row r="234" spans="1:6" x14ac:dyDescent="0.25">
      <c r="A234" t="s">
        <v>210</v>
      </c>
      <c r="B234" t="s">
        <v>371</v>
      </c>
      <c r="C234" t="s">
        <v>11</v>
      </c>
      <c r="D234" t="s">
        <v>2</v>
      </c>
      <c r="E234">
        <v>46.65</v>
      </c>
    </row>
    <row r="235" spans="1:6" x14ac:dyDescent="0.25">
      <c r="A235" t="s">
        <v>210</v>
      </c>
      <c r="B235" t="s">
        <v>372</v>
      </c>
      <c r="C235" t="s">
        <v>12</v>
      </c>
      <c r="D235" t="s">
        <v>16</v>
      </c>
      <c r="E235">
        <v>47</v>
      </c>
    </row>
    <row r="236" spans="1:6" x14ac:dyDescent="0.25">
      <c r="A236" t="s">
        <v>210</v>
      </c>
      <c r="B236" t="s">
        <v>373</v>
      </c>
      <c r="C236" t="s">
        <v>13</v>
      </c>
      <c r="D236" t="s">
        <v>18</v>
      </c>
      <c r="E236">
        <v>45.3</v>
      </c>
    </row>
    <row r="237" spans="1:6" x14ac:dyDescent="0.25">
      <c r="A237" t="s">
        <v>210</v>
      </c>
      <c r="B237" t="s">
        <v>374</v>
      </c>
      <c r="C237" t="s">
        <v>14</v>
      </c>
      <c r="D237" t="s">
        <v>17</v>
      </c>
      <c r="E237">
        <v>45</v>
      </c>
    </row>
    <row r="238" spans="1:6" x14ac:dyDescent="0.25">
      <c r="A238" t="s">
        <v>210</v>
      </c>
      <c r="B238" t="s">
        <v>375</v>
      </c>
      <c r="C238" t="s">
        <v>15</v>
      </c>
      <c r="D238" t="s">
        <v>3</v>
      </c>
      <c r="E238">
        <v>44.45</v>
      </c>
    </row>
    <row r="239" spans="1:6" x14ac:dyDescent="0.25">
      <c r="A239" t="s">
        <v>212</v>
      </c>
      <c r="B239" t="s">
        <v>376</v>
      </c>
      <c r="C239" t="s">
        <v>41</v>
      </c>
      <c r="D239" t="s">
        <v>44</v>
      </c>
      <c r="E239">
        <v>52</v>
      </c>
      <c r="F239" t="s">
        <v>213</v>
      </c>
    </row>
    <row r="240" spans="1:6" x14ac:dyDescent="0.25">
      <c r="A240" t="s">
        <v>212</v>
      </c>
      <c r="B240" t="s">
        <v>377</v>
      </c>
      <c r="C240" t="s">
        <v>42</v>
      </c>
      <c r="D240" t="s">
        <v>45</v>
      </c>
      <c r="E240">
        <v>54.5</v>
      </c>
    </row>
    <row r="241" spans="1:6" x14ac:dyDescent="0.25">
      <c r="A241" t="s">
        <v>212</v>
      </c>
      <c r="B241" t="s">
        <v>378</v>
      </c>
      <c r="C241" t="s">
        <v>43</v>
      </c>
      <c r="D241" t="s">
        <v>46</v>
      </c>
      <c r="E241">
        <v>55</v>
      </c>
    </row>
    <row r="242" spans="1:6" x14ac:dyDescent="0.25">
      <c r="A242" t="s">
        <v>212</v>
      </c>
      <c r="B242" t="s">
        <v>379</v>
      </c>
      <c r="C242" t="s">
        <v>40</v>
      </c>
      <c r="D242" t="s">
        <v>47</v>
      </c>
      <c r="E242">
        <v>62</v>
      </c>
    </row>
    <row r="243" spans="1:6" x14ac:dyDescent="0.25">
      <c r="A243" t="s">
        <v>212</v>
      </c>
      <c r="B243" t="s">
        <v>380</v>
      </c>
      <c r="C243" t="s">
        <v>19</v>
      </c>
      <c r="D243" t="s">
        <v>24</v>
      </c>
      <c r="E243">
        <v>65</v>
      </c>
    </row>
    <row r="244" spans="1:6" x14ac:dyDescent="0.25">
      <c r="A244" t="s">
        <v>212</v>
      </c>
      <c r="B244" t="s">
        <v>381</v>
      </c>
      <c r="C244" t="s">
        <v>20</v>
      </c>
      <c r="D244" t="s">
        <v>23</v>
      </c>
      <c r="E244">
        <v>68</v>
      </c>
    </row>
    <row r="245" spans="1:6" x14ac:dyDescent="0.25">
      <c r="A245" t="s">
        <v>212</v>
      </c>
      <c r="B245" t="s">
        <v>382</v>
      </c>
      <c r="C245" t="s">
        <v>21</v>
      </c>
      <c r="D245" t="s">
        <v>22</v>
      </c>
      <c r="E245">
        <v>72</v>
      </c>
    </row>
    <row r="246" spans="1:6" x14ac:dyDescent="0.25">
      <c r="A246" t="s">
        <v>212</v>
      </c>
      <c r="B246" t="s">
        <v>383</v>
      </c>
      <c r="C246" t="s">
        <v>11</v>
      </c>
      <c r="D246" t="s">
        <v>2</v>
      </c>
      <c r="E246">
        <v>68</v>
      </c>
    </row>
    <row r="247" spans="1:6" x14ac:dyDescent="0.25">
      <c r="A247" t="s">
        <v>212</v>
      </c>
      <c r="B247" t="s">
        <v>384</v>
      </c>
      <c r="C247" t="s">
        <v>12</v>
      </c>
      <c r="D247" t="s">
        <v>16</v>
      </c>
      <c r="E247">
        <v>70</v>
      </c>
    </row>
    <row r="248" spans="1:6" x14ac:dyDescent="0.25">
      <c r="A248" t="s">
        <v>212</v>
      </c>
      <c r="B248" t="s">
        <v>385</v>
      </c>
      <c r="C248" t="s">
        <v>13</v>
      </c>
      <c r="D248" t="s">
        <v>18</v>
      </c>
      <c r="E248">
        <v>69</v>
      </c>
    </row>
    <row r="249" spans="1:6" x14ac:dyDescent="0.25">
      <c r="A249" t="s">
        <v>212</v>
      </c>
      <c r="B249" t="s">
        <v>386</v>
      </c>
      <c r="C249" t="s">
        <v>14</v>
      </c>
      <c r="D249" t="s">
        <v>17</v>
      </c>
      <c r="E249">
        <v>73.5</v>
      </c>
    </row>
    <row r="250" spans="1:6" x14ac:dyDescent="0.25">
      <c r="A250" t="s">
        <v>212</v>
      </c>
      <c r="B250" t="s">
        <v>387</v>
      </c>
      <c r="C250" t="s">
        <v>15</v>
      </c>
      <c r="D250" t="s">
        <v>3</v>
      </c>
      <c r="E250">
        <v>76</v>
      </c>
    </row>
    <row r="251" spans="1:6" x14ac:dyDescent="0.25">
      <c r="A251" t="s">
        <v>214</v>
      </c>
      <c r="B251" t="s">
        <v>388</v>
      </c>
      <c r="C251" t="s">
        <v>41</v>
      </c>
      <c r="D251" t="s">
        <v>44</v>
      </c>
      <c r="E251">
        <v>7.5</v>
      </c>
      <c r="F251" t="s">
        <v>215</v>
      </c>
    </row>
    <row r="252" spans="1:6" x14ac:dyDescent="0.25">
      <c r="A252" t="s">
        <v>214</v>
      </c>
      <c r="B252" t="s">
        <v>389</v>
      </c>
      <c r="C252" t="s">
        <v>42</v>
      </c>
      <c r="D252" t="s">
        <v>45</v>
      </c>
      <c r="E252">
        <v>7.2</v>
      </c>
    </row>
    <row r="253" spans="1:6" x14ac:dyDescent="0.25">
      <c r="A253" t="s">
        <v>214</v>
      </c>
      <c r="B253" t="s">
        <v>390</v>
      </c>
      <c r="C253" t="s">
        <v>43</v>
      </c>
      <c r="D253" t="s">
        <v>46</v>
      </c>
      <c r="E253">
        <v>6.5</v>
      </c>
    </row>
    <row r="254" spans="1:6" x14ac:dyDescent="0.25">
      <c r="A254" t="s">
        <v>214</v>
      </c>
      <c r="B254" t="s">
        <v>391</v>
      </c>
      <c r="C254" t="s">
        <v>40</v>
      </c>
      <c r="D254" t="s">
        <v>47</v>
      </c>
      <c r="E254">
        <v>6.35</v>
      </c>
    </row>
    <row r="255" spans="1:6" x14ac:dyDescent="0.25">
      <c r="A255" t="s">
        <v>214</v>
      </c>
      <c r="B255" t="s">
        <v>392</v>
      </c>
      <c r="C255" t="s">
        <v>19</v>
      </c>
      <c r="D255" t="s">
        <v>24</v>
      </c>
      <c r="E255">
        <v>5.5</v>
      </c>
    </row>
    <row r="256" spans="1:6" x14ac:dyDescent="0.25">
      <c r="A256" t="s">
        <v>214</v>
      </c>
      <c r="B256" t="s">
        <v>393</v>
      </c>
      <c r="C256" t="s">
        <v>20</v>
      </c>
      <c r="D256" t="s">
        <v>23</v>
      </c>
      <c r="E256">
        <v>5.4</v>
      </c>
    </row>
    <row r="257" spans="1:6" x14ac:dyDescent="0.25">
      <c r="A257" t="s">
        <v>214</v>
      </c>
      <c r="B257" t="s">
        <v>394</v>
      </c>
      <c r="C257" t="s">
        <v>21</v>
      </c>
      <c r="D257" t="s">
        <v>22</v>
      </c>
      <c r="E257">
        <v>5.01</v>
      </c>
    </row>
    <row r="258" spans="1:6" x14ac:dyDescent="0.25">
      <c r="A258" t="s">
        <v>214</v>
      </c>
      <c r="B258" t="s">
        <v>395</v>
      </c>
      <c r="C258" t="s">
        <v>11</v>
      </c>
      <c r="D258" t="s">
        <v>2</v>
      </c>
      <c r="E258">
        <v>4.58</v>
      </c>
    </row>
    <row r="259" spans="1:6" x14ac:dyDescent="0.25">
      <c r="A259" t="s">
        <v>214</v>
      </c>
      <c r="B259" t="s">
        <v>396</v>
      </c>
      <c r="C259" t="s">
        <v>12</v>
      </c>
      <c r="D259" t="s">
        <v>16</v>
      </c>
      <c r="E259">
        <v>4.4000000000000004</v>
      </c>
    </row>
    <row r="260" spans="1:6" x14ac:dyDescent="0.25">
      <c r="A260" t="s">
        <v>214</v>
      </c>
      <c r="B260" t="s">
        <v>397</v>
      </c>
      <c r="C260" t="s">
        <v>13</v>
      </c>
      <c r="D260" t="s">
        <v>18</v>
      </c>
      <c r="E260">
        <v>4.21</v>
      </c>
    </row>
    <row r="261" spans="1:6" x14ac:dyDescent="0.25">
      <c r="A261" t="s">
        <v>214</v>
      </c>
      <c r="B261" t="s">
        <v>398</v>
      </c>
      <c r="C261" t="s">
        <v>14</v>
      </c>
      <c r="D261" t="s">
        <v>17</v>
      </c>
      <c r="E261">
        <v>3.85</v>
      </c>
    </row>
    <row r="262" spans="1:6" x14ac:dyDescent="0.25">
      <c r="A262" t="s">
        <v>214</v>
      </c>
      <c r="B262" t="s">
        <v>399</v>
      </c>
      <c r="C262" t="s">
        <v>15</v>
      </c>
      <c r="D262" t="s">
        <v>3</v>
      </c>
      <c r="E262">
        <v>3.6</v>
      </c>
    </row>
    <row r="263" spans="1:6" x14ac:dyDescent="0.25">
      <c r="A263" t="s">
        <v>216</v>
      </c>
      <c r="B263" t="s">
        <v>400</v>
      </c>
      <c r="C263">
        <v>2009</v>
      </c>
      <c r="D263" t="s">
        <v>47</v>
      </c>
      <c r="E263">
        <v>45</v>
      </c>
      <c r="F263" t="s">
        <v>217</v>
      </c>
    </row>
    <row r="264" spans="1:6" x14ac:dyDescent="0.25">
      <c r="A264" t="s">
        <v>216</v>
      </c>
      <c r="B264" t="s">
        <v>401</v>
      </c>
      <c r="C264">
        <v>2010</v>
      </c>
      <c r="D264" t="s">
        <v>2</v>
      </c>
      <c r="E264">
        <v>77</v>
      </c>
    </row>
    <row r="265" spans="1:6" x14ac:dyDescent="0.25">
      <c r="A265" t="s">
        <v>216</v>
      </c>
      <c r="B265" t="s">
        <v>402</v>
      </c>
      <c r="C265">
        <v>2011</v>
      </c>
      <c r="D265" t="s">
        <v>3</v>
      </c>
      <c r="E265">
        <v>90</v>
      </c>
    </row>
    <row r="266" spans="1:6" x14ac:dyDescent="0.25">
      <c r="A266" t="s">
        <v>218</v>
      </c>
      <c r="B266" t="s">
        <v>403</v>
      </c>
      <c r="C266" t="s">
        <v>41</v>
      </c>
      <c r="D266" t="s">
        <v>44</v>
      </c>
      <c r="E266">
        <v>12</v>
      </c>
      <c r="F266" t="s">
        <v>219</v>
      </c>
    </row>
    <row r="267" spans="1:6" x14ac:dyDescent="0.25">
      <c r="A267" t="s">
        <v>218</v>
      </c>
      <c r="B267" t="s">
        <v>404</v>
      </c>
      <c r="C267" t="s">
        <v>42</v>
      </c>
      <c r="D267" t="s">
        <v>45</v>
      </c>
      <c r="E267">
        <v>14</v>
      </c>
    </row>
    <row r="268" spans="1:6" x14ac:dyDescent="0.25">
      <c r="A268" t="s">
        <v>218</v>
      </c>
      <c r="B268" t="s">
        <v>405</v>
      </c>
      <c r="C268" t="s">
        <v>43</v>
      </c>
      <c r="D268" t="s">
        <v>46</v>
      </c>
      <c r="E268">
        <v>16</v>
      </c>
    </row>
    <row r="269" spans="1:6" x14ac:dyDescent="0.25">
      <c r="A269" t="s">
        <v>218</v>
      </c>
      <c r="B269" t="s">
        <v>406</v>
      </c>
      <c r="C269" t="s">
        <v>40</v>
      </c>
      <c r="D269" t="s">
        <v>47</v>
      </c>
      <c r="E269">
        <v>20</v>
      </c>
    </row>
    <row r="270" spans="1:6" x14ac:dyDescent="0.25">
      <c r="A270" t="s">
        <v>218</v>
      </c>
      <c r="B270" t="s">
        <v>407</v>
      </c>
      <c r="C270" t="s">
        <v>19</v>
      </c>
      <c r="D270" t="s">
        <v>24</v>
      </c>
      <c r="E270">
        <v>22</v>
      </c>
    </row>
    <row r="271" spans="1:6" x14ac:dyDescent="0.25">
      <c r="A271" t="s">
        <v>218</v>
      </c>
      <c r="B271" t="s">
        <v>408</v>
      </c>
      <c r="C271" t="s">
        <v>20</v>
      </c>
      <c r="D271" t="s">
        <v>23</v>
      </c>
      <c r="E271">
        <v>24</v>
      </c>
    </row>
    <row r="272" spans="1:6" x14ac:dyDescent="0.25">
      <c r="A272" t="s">
        <v>218</v>
      </c>
      <c r="B272" t="s">
        <v>409</v>
      </c>
      <c r="C272" t="s">
        <v>21</v>
      </c>
      <c r="D272" t="s">
        <v>22</v>
      </c>
      <c r="E272">
        <v>22</v>
      </c>
    </row>
    <row r="273" spans="1:5" x14ac:dyDescent="0.25">
      <c r="A273" t="s">
        <v>218</v>
      </c>
      <c r="B273" t="s">
        <v>410</v>
      </c>
      <c r="C273" t="s">
        <v>11</v>
      </c>
      <c r="D273" t="s">
        <v>2</v>
      </c>
      <c r="E273">
        <v>24</v>
      </c>
    </row>
    <row r="274" spans="1:5" x14ac:dyDescent="0.25">
      <c r="A274" t="s">
        <v>218</v>
      </c>
      <c r="B274" t="s">
        <v>411</v>
      </c>
      <c r="C274" t="s">
        <v>12</v>
      </c>
      <c r="D274" t="s">
        <v>16</v>
      </c>
      <c r="E274">
        <v>28</v>
      </c>
    </row>
    <row r="275" spans="1:5" x14ac:dyDescent="0.25">
      <c r="A275" t="s">
        <v>218</v>
      </c>
      <c r="B275" t="s">
        <v>412</v>
      </c>
      <c r="C275" t="s">
        <v>13</v>
      </c>
      <c r="D275" t="s">
        <v>18</v>
      </c>
      <c r="E275">
        <v>28</v>
      </c>
    </row>
    <row r="276" spans="1:5" x14ac:dyDescent="0.25">
      <c r="A276" t="s">
        <v>218</v>
      </c>
      <c r="B276" t="s">
        <v>413</v>
      </c>
      <c r="C276" t="s">
        <v>14</v>
      </c>
      <c r="D276" t="s">
        <v>17</v>
      </c>
      <c r="E276">
        <v>30</v>
      </c>
    </row>
    <row r="277" spans="1:5" x14ac:dyDescent="0.25">
      <c r="A277" t="s">
        <v>218</v>
      </c>
      <c r="B277" t="s">
        <v>414</v>
      </c>
      <c r="C277" t="s">
        <v>15</v>
      </c>
      <c r="D277" t="s">
        <v>3</v>
      </c>
      <c r="E277">
        <v>33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CA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CA, Inc.</dc:creator>
  <cp:lastModifiedBy>Alexandre Assis</cp:lastModifiedBy>
  <dcterms:created xsi:type="dcterms:W3CDTF">2011-12-07T19:25:58Z</dcterms:created>
  <dcterms:modified xsi:type="dcterms:W3CDTF">2017-03-09T15:17:25Z</dcterms:modified>
</cp:coreProperties>
</file>